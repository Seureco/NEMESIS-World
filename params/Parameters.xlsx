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DIAMOND\NeW\Model\Params\"/>
    </mc:Choice>
  </mc:AlternateContent>
  <xr:revisionPtr revIDLastSave="0" documentId="13_ncr:1_{9DDE2ECF-189C-43FB-976B-F4D9EED37AEA}" xr6:coauthVersionLast="47" xr6:coauthVersionMax="47" xr10:uidLastSave="{00000000-0000-0000-0000-000000000000}"/>
  <bookViews>
    <workbookView xWindow="-120" yWindow="-120" windowWidth="29040" windowHeight="15720" activeTab="4" xr2:uid="{96DE2E6A-2961-4991-888E-FA322A9C78B0}"/>
  </bookViews>
  <sheets>
    <sheet name="decay" sheetId="1" r:id="rId1"/>
    <sheet name="sigma" sheetId="3" r:id="rId2"/>
    <sheet name="decay_nem_eu" sheetId="2" r:id="rId3"/>
    <sheet name="icebergcost" sheetId="5" r:id="rId4"/>
    <sheet name="vat_rate" sheetId="7" r:id="rId5"/>
    <sheet name="sourc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0" i="1" l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7" i="1"/>
  <c r="C18" i="1"/>
  <c r="C16" i="1"/>
  <c r="C15" i="1"/>
  <c r="C14" i="1"/>
  <c r="C13" i="1"/>
  <c r="C12" i="1"/>
  <c r="C11" i="1"/>
  <c r="C10" i="1"/>
  <c r="C9" i="1"/>
  <c r="C8" i="1"/>
  <c r="C7" i="1"/>
  <c r="C6" i="1"/>
  <c r="C3" i="1"/>
  <c r="C4" i="1"/>
  <c r="C5" i="1"/>
  <c r="C2" i="1"/>
</calcChain>
</file>

<file path=xl/sharedStrings.xml><?xml version="1.0" encoding="utf-8"?>
<sst xmlns="http://schemas.openxmlformats.org/spreadsheetml/2006/main" count="5803" uniqueCount="213">
  <si>
    <t>01</t>
  </si>
  <si>
    <t>Agriculture - vegetable</t>
  </si>
  <si>
    <t>02</t>
  </si>
  <si>
    <t>Agriculture - animals</t>
  </si>
  <si>
    <t>03</t>
  </si>
  <si>
    <t>Forestry</t>
  </si>
  <si>
    <t>04</t>
  </si>
  <si>
    <t>Fishery</t>
  </si>
  <si>
    <t>05</t>
  </si>
  <si>
    <t>Mining of coal</t>
  </si>
  <si>
    <t>06</t>
  </si>
  <si>
    <t>Extraction of oil</t>
  </si>
  <si>
    <t>07</t>
  </si>
  <si>
    <t>Extraction of natural gas</t>
  </si>
  <si>
    <t>08</t>
  </si>
  <si>
    <t>Other mining</t>
  </si>
  <si>
    <t>09</t>
  </si>
  <si>
    <t>Manufacture of food, beverage and tobacco</t>
  </si>
  <si>
    <t>10</t>
  </si>
  <si>
    <t>Manufacture of textiles, wearing apparel and leather products</t>
  </si>
  <si>
    <t>11</t>
  </si>
  <si>
    <t>Manufacture of wood and wood products</t>
  </si>
  <si>
    <t>12</t>
  </si>
  <si>
    <t>Manufacture of pulp, paper and printing products</t>
  </si>
  <si>
    <t>13</t>
  </si>
  <si>
    <t>Manufacture of coke</t>
  </si>
  <si>
    <t>14</t>
  </si>
  <si>
    <t>Manufacture of petroleum and nuclear products</t>
  </si>
  <si>
    <t>15</t>
  </si>
  <si>
    <t>Chemicals - platics</t>
  </si>
  <si>
    <t>16</t>
  </si>
  <si>
    <t>Chemicals - fertilisers</t>
  </si>
  <si>
    <t>17</t>
  </si>
  <si>
    <t>Cheminals - others</t>
  </si>
  <si>
    <t>18</t>
  </si>
  <si>
    <t>Manufacture of rubber and plactic products</t>
  </si>
  <si>
    <t>19</t>
  </si>
  <si>
    <t>Manufacture of glass</t>
  </si>
  <si>
    <t>20</t>
  </si>
  <si>
    <t>Manufacture of cement and lime</t>
  </si>
  <si>
    <t>21</t>
  </si>
  <si>
    <t>Manufacture of other non-metallic mineral products</t>
  </si>
  <si>
    <t>22</t>
  </si>
  <si>
    <t>Manufacture of iron and steel</t>
  </si>
  <si>
    <t>23</t>
  </si>
  <si>
    <t>Manufacture of other basic metals</t>
  </si>
  <si>
    <t>24</t>
  </si>
  <si>
    <t>Aluminium production</t>
  </si>
  <si>
    <t>25</t>
  </si>
  <si>
    <t>Manufacture of fabricated metal products</t>
  </si>
  <si>
    <t>26</t>
  </si>
  <si>
    <t>Manufacture of machinery and equipment</t>
  </si>
  <si>
    <t>27</t>
  </si>
  <si>
    <t>Manufacture of office machinery and computers</t>
  </si>
  <si>
    <t>28</t>
  </si>
  <si>
    <t>Manufacture of electrical machinery and apparatus</t>
  </si>
  <si>
    <t>29</t>
  </si>
  <si>
    <t>Manufacture of radio, television and communication equipment and apparatus</t>
  </si>
  <si>
    <t>30</t>
  </si>
  <si>
    <t>Manufacture of medical, precision and optical instruments, watches and clocks</t>
  </si>
  <si>
    <t>31</t>
  </si>
  <si>
    <t>Manufacture of motor vehicles, trailers and semi-trailers</t>
  </si>
  <si>
    <t>32</t>
  </si>
  <si>
    <t>Manufacture of other transport equipment</t>
  </si>
  <si>
    <t>33</t>
  </si>
  <si>
    <t>Other manufacturing</t>
  </si>
  <si>
    <t>34</t>
  </si>
  <si>
    <t>Wastes treatment and recycling</t>
  </si>
  <si>
    <t>35</t>
  </si>
  <si>
    <t>Production of electricity</t>
  </si>
  <si>
    <t>36</t>
  </si>
  <si>
    <t>Transmission of electricity</t>
  </si>
  <si>
    <t>37</t>
  </si>
  <si>
    <t>Distribution and trade of electricity</t>
  </si>
  <si>
    <t>38</t>
  </si>
  <si>
    <t>Manufacture of gas; distribution of gaseous fuels through mains</t>
  </si>
  <si>
    <t>39</t>
  </si>
  <si>
    <t>Steam and hot water supply</t>
  </si>
  <si>
    <t>40</t>
  </si>
  <si>
    <t>Water distribution</t>
  </si>
  <si>
    <t>41</t>
  </si>
  <si>
    <t>Construction</t>
  </si>
  <si>
    <t>42</t>
  </si>
  <si>
    <t>Trade</t>
  </si>
  <si>
    <t>43</t>
  </si>
  <si>
    <t>Hotels and restaurants</t>
  </si>
  <si>
    <t>44</t>
  </si>
  <si>
    <t>Transport via railways</t>
  </si>
  <si>
    <t>45</t>
  </si>
  <si>
    <t>Other land transport</t>
  </si>
  <si>
    <t>46</t>
  </si>
  <si>
    <t>Sea and coastal water transport</t>
  </si>
  <si>
    <t>47</t>
  </si>
  <si>
    <t>Inland water transport</t>
  </si>
  <si>
    <t>48</t>
  </si>
  <si>
    <t>Air transport</t>
  </si>
  <si>
    <t>49</t>
  </si>
  <si>
    <t>Other transport</t>
  </si>
  <si>
    <t>50</t>
  </si>
  <si>
    <t>Finance</t>
  </si>
  <si>
    <t>51</t>
  </si>
  <si>
    <t>Insurance</t>
  </si>
  <si>
    <t>52</t>
  </si>
  <si>
    <t>Real estate activities</t>
  </si>
  <si>
    <t>53</t>
  </si>
  <si>
    <t>Information and communication</t>
  </si>
  <si>
    <t>54</t>
  </si>
  <si>
    <t>Research and development</t>
  </si>
  <si>
    <t>55</t>
  </si>
  <si>
    <t>Other business activities</t>
  </si>
  <si>
    <t>56</t>
  </si>
  <si>
    <t>Public administration and defence; compulsory social security</t>
  </si>
  <si>
    <t>57</t>
  </si>
  <si>
    <t>Education</t>
  </si>
  <si>
    <t>58</t>
  </si>
  <si>
    <t>Health and social work</t>
  </si>
  <si>
    <t>59</t>
  </si>
  <si>
    <t>Other services activities</t>
  </si>
  <si>
    <t>sec_cd</t>
  </si>
  <si>
    <t>sec_nm</t>
  </si>
  <si>
    <t>value</t>
  </si>
  <si>
    <t>source</t>
  </si>
  <si>
    <t xml:space="preserve">1 Agriculture </t>
  </si>
  <si>
    <t xml:space="preserve">2 Coal and Coke </t>
  </si>
  <si>
    <t xml:space="preserve">3 Oil &amp; Gas Extraction </t>
  </si>
  <si>
    <t xml:space="preserve">4 Gas Distribution </t>
  </si>
  <si>
    <t xml:space="preserve">5 Refined Oil </t>
  </si>
  <si>
    <t xml:space="preserve">6 Electricity </t>
  </si>
  <si>
    <t xml:space="preserve">7 Water Supply </t>
  </si>
  <si>
    <t xml:space="preserve">8 Ferr &amp; non Ferrous Metals </t>
  </si>
  <si>
    <t xml:space="preserve">9 Non Metallic Min Products </t>
  </si>
  <si>
    <t xml:space="preserve">10 Chemicals </t>
  </si>
  <si>
    <t xml:space="preserve">11 Metal Products </t>
  </si>
  <si>
    <t xml:space="preserve">12 Agr &amp; Indus Machines </t>
  </si>
  <si>
    <t xml:space="preserve">13 Office machines </t>
  </si>
  <si>
    <t xml:space="preserve">14 Electrical Goods </t>
  </si>
  <si>
    <t xml:space="preserve">15 transport Equipment </t>
  </si>
  <si>
    <t xml:space="preserve">16 Food, Drink &amp; Tobacco </t>
  </si>
  <si>
    <t xml:space="preserve">17 Tex., Cloth &amp; Footw. </t>
  </si>
  <si>
    <t xml:space="preserve">18 Paper &amp; Printing Products </t>
  </si>
  <si>
    <t xml:space="preserve">19 Rubber &amp; Plastic </t>
  </si>
  <si>
    <t xml:space="preserve">20 Other Manufactures </t>
  </si>
  <si>
    <t xml:space="preserve">21 Construction </t>
  </si>
  <si>
    <t xml:space="preserve">22 Distribution </t>
  </si>
  <si>
    <t xml:space="preserve">23 Lodging &amp; Catering </t>
  </si>
  <si>
    <t xml:space="preserve">24 Inland Transports </t>
  </si>
  <si>
    <t xml:space="preserve">25 Sea &amp; Air Transport </t>
  </si>
  <si>
    <t xml:space="preserve">26 Other Transports </t>
  </si>
  <si>
    <t xml:space="preserve">27 Communication </t>
  </si>
  <si>
    <t xml:space="preserve">28 Bank, Finance &amp; Insurance </t>
  </si>
  <si>
    <t xml:space="preserve">29 Other Market Services </t>
  </si>
  <si>
    <t xml:space="preserve">30 Non Market Services </t>
  </si>
  <si>
    <t>AT</t>
  </si>
  <si>
    <t>BG</t>
  </si>
  <si>
    <t>BE</t>
  </si>
  <si>
    <t>DK</t>
  </si>
  <si>
    <t>DE</t>
  </si>
  <si>
    <t>FI</t>
  </si>
  <si>
    <t>FR</t>
  </si>
  <si>
    <t>GR</t>
  </si>
  <si>
    <t>IE</t>
  </si>
  <si>
    <t>IT</t>
  </si>
  <si>
    <t>LU</t>
  </si>
  <si>
    <t>NL</t>
  </si>
  <si>
    <t>PT</t>
  </si>
  <si>
    <t>ES</t>
  </si>
  <si>
    <t>SE</t>
  </si>
  <si>
    <t>UK</t>
  </si>
  <si>
    <t>CZ</t>
  </si>
  <si>
    <t>EE</t>
  </si>
  <si>
    <t>LV</t>
  </si>
  <si>
    <t>LT</t>
  </si>
  <si>
    <t>HU</t>
  </si>
  <si>
    <t>MT</t>
  </si>
  <si>
    <t>PL</t>
  </si>
  <si>
    <t>SI</t>
  </si>
  <si>
    <t>SK</t>
  </si>
  <si>
    <t>RO</t>
  </si>
  <si>
    <t>CY</t>
  </si>
  <si>
    <t>HR</t>
  </si>
  <si>
    <t>NO</t>
  </si>
  <si>
    <t>IS</t>
  </si>
  <si>
    <t>CH</t>
  </si>
  <si>
    <t>NEMESIS EU (avg value from DE, FR, IT, ES  and UK)</t>
  </si>
  <si>
    <t>parameter</t>
  </si>
  <si>
    <t>sigma_prod</t>
  </si>
  <si>
    <t>OE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</si>
  <si>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</si>
  <si>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</si>
  <si>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</si>
  <si>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</si>
  <si>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</si>
  <si>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</si>
  <si>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</si>
  <si>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</si>
  <si>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</si>
  <si>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</si>
  <si>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WE</t>
  </si>
  <si>
    <t>WA</t>
  </si>
  <si>
    <t>ID</t>
  </si>
  <si>
    <t>WF</t>
  </si>
  <si>
    <t>WL</t>
  </si>
  <si>
    <t>WM</t>
  </si>
  <si>
    <t>vat rate:</t>
  </si>
  <si>
    <t>https://www.oecd.org/content/dam/oecd/en/publications/reports/2024/11/consumption-tax-trends-2024_57c7322a/dcd4dd36-en.pdf</t>
  </si>
  <si>
    <t>https://www.ato.gov.au/businesses-and-organisations/gst-excise-and-indirect-taxes/gst/when-to-charge-gst-and-when-not-to/gst-free-sales</t>
  </si>
  <si>
    <t>https://www.fzcoltd.com/brazil-sales-tax-everything-you-need-to-know/</t>
  </si>
  <si>
    <t>https://www.vatcalc.com/china/china-vat-exemption-tackles-real-estate-collapse/</t>
  </si>
  <si>
    <t>https://www.canada.ca/en/revenue-agency/services/tax/businesses/topics/gst-hst-businesses/charge-collect-which-rate.html</t>
  </si>
  <si>
    <t>https://taxsummaries.pwc.com/japan/corporate/other-taxes</t>
  </si>
  <si>
    <t>region</t>
  </si>
  <si>
    <t>sector</t>
  </si>
  <si>
    <t>vat_rate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</si>
</sst>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21DB-5F09-4BDC-A841-D847403A862D}">
  <dimension ref="A1:D60"/>
  <sheetViews>
    <sheetView topLeftCell="A26" zoomScale="85" zoomScaleNormal="85" workbookViewId="0">
      <selection sqref="A1:D60"/>
    </sheetView>
  </sheetViews>
  <sheetFormatPr defaultRowHeight="15" x14ac:dyDescent="0.25"/>
  <cols>
    <col min="1" max="1" width="6.85546875" bestFit="1" customWidth="1"/>
    <col min="2" max="2" width="58" customWidth="1"/>
    <col min="4" max="4" width="45.85546875" bestFit="1" customWidth="1"/>
  </cols>
  <sheetData>
    <row r="1" spans="1:4" x14ac:dyDescent="0.25">
      <c r="A1" s="2" t="s">
        <v>118</v>
      </c>
      <c r="B1" s="2" t="s">
        <v>119</v>
      </c>
      <c r="C1" s="2" t="s">
        <v>120</v>
      </c>
      <c r="D1" s="2" t="s">
        <v>121</v>
      </c>
    </row>
    <row r="2" spans="1:4" x14ac:dyDescent="0.25">
      <c r="A2" t="s">
        <v>0</v>
      </c>
      <c r="B2" t="s">
        <v>1</v>
      </c>
      <c r="C2">
        <f>AVERAGEIFS(decay_nem_eu!$D:$D,decay_nem_eu!$C:$C,{"FR";"DE";"IT";"ES";"UK"},decay_nem_eu!$A:$A,"01")</f>
        <v>6.7090361923556954E-2</v>
      </c>
      <c r="D2" t="s">
        <v>183</v>
      </c>
    </row>
    <row r="3" spans="1:4" x14ac:dyDescent="0.25">
      <c r="A3" t="s">
        <v>2</v>
      </c>
      <c r="B3" t="s">
        <v>3</v>
      </c>
      <c r="C3">
        <f>AVERAGEIFS(decay_nem_eu!$D:$D,decay_nem_eu!$C:$C,{"FR";"DE";"IT";"ES";"UK"},decay_nem_eu!$A:$A,"01")</f>
        <v>6.7090361923556954E-2</v>
      </c>
      <c r="D3" t="s">
        <v>183</v>
      </c>
    </row>
    <row r="4" spans="1:4" x14ac:dyDescent="0.25">
      <c r="A4" t="s">
        <v>4</v>
      </c>
      <c r="B4" t="s">
        <v>5</v>
      </c>
      <c r="C4">
        <f>AVERAGEIFS(decay_nem_eu!$D:$D,decay_nem_eu!$C:$C,{"FR";"DE";"IT";"ES";"UK"},decay_nem_eu!$A:$A,"01")</f>
        <v>6.7090361923556954E-2</v>
      </c>
      <c r="D4" t="s">
        <v>183</v>
      </c>
    </row>
    <row r="5" spans="1:4" x14ac:dyDescent="0.25">
      <c r="A5" t="s">
        <v>6</v>
      </c>
      <c r="B5" t="s">
        <v>7</v>
      </c>
      <c r="C5">
        <f>AVERAGEIFS(decay_nem_eu!$D:$D,decay_nem_eu!$C:$C,{"FR";"DE";"IT";"ES";"UK"},decay_nem_eu!$A:$A,"01")</f>
        <v>6.7090361923556954E-2</v>
      </c>
      <c r="D5" t="s">
        <v>183</v>
      </c>
    </row>
    <row r="6" spans="1:4" x14ac:dyDescent="0.25">
      <c r="A6" t="s">
        <v>8</v>
      </c>
      <c r="B6" t="s">
        <v>9</v>
      </c>
      <c r="C6">
        <f>AVERAGEIFS(decay_nem_eu!$D:$D,decay_nem_eu!$C:$C,{"FR";"DE";"IT";"ES";"UK"},decay_nem_eu!$A:$A,"02")</f>
        <v>5.2445378104730801E-2</v>
      </c>
      <c r="D6" t="s">
        <v>183</v>
      </c>
    </row>
    <row r="7" spans="1:4" x14ac:dyDescent="0.25">
      <c r="A7" t="s">
        <v>10</v>
      </c>
      <c r="B7" t="s">
        <v>11</v>
      </c>
      <c r="C7">
        <f>AVERAGEIFS(decay_nem_eu!$D:$D,decay_nem_eu!$C:$C,{"FR";"DE";"IT";"ES";"UK"},decay_nem_eu!$A:$A,"03")</f>
        <v>4.9447983494555613E-2</v>
      </c>
      <c r="D7" t="s">
        <v>183</v>
      </c>
    </row>
    <row r="8" spans="1:4" x14ac:dyDescent="0.25">
      <c r="A8" t="s">
        <v>12</v>
      </c>
      <c r="B8" t="s">
        <v>13</v>
      </c>
      <c r="C8">
        <f>AVERAGEIFS(decay_nem_eu!$D:$D,decay_nem_eu!$C:$C,{"FR";"DE";"IT";"ES";"UK"},decay_nem_eu!$A:$A,"03")</f>
        <v>4.9447983494555613E-2</v>
      </c>
      <c r="D8" t="s">
        <v>183</v>
      </c>
    </row>
    <row r="9" spans="1:4" x14ac:dyDescent="0.25">
      <c r="A9" t="s">
        <v>14</v>
      </c>
      <c r="B9" t="s">
        <v>15</v>
      </c>
      <c r="C9">
        <f>AVERAGEIFS(decay_nem_eu!$D:$D,decay_nem_eu!$C:$C,{"FR";"DE";"IT";"ES";"UK"},decay_nem_eu!$A:$A,{"02";"03"})</f>
        <v>5.2445378104730801E-2</v>
      </c>
      <c r="D9" t="s">
        <v>183</v>
      </c>
    </row>
    <row r="10" spans="1:4" x14ac:dyDescent="0.25">
      <c r="A10" t="s">
        <v>16</v>
      </c>
      <c r="B10" t="s">
        <v>17</v>
      </c>
      <c r="C10">
        <f>AVERAGEIFS(decay_nem_eu!$D:$D,decay_nem_eu!$C:$C,{"FR";"DE";"IT";"ES";"UK"},decay_nem_eu!$A:$A,"16")</f>
        <v>5.8778332322576829E-2</v>
      </c>
      <c r="D10" t="s">
        <v>183</v>
      </c>
    </row>
    <row r="11" spans="1:4" x14ac:dyDescent="0.25">
      <c r="A11" t="s">
        <v>18</v>
      </c>
      <c r="B11" t="s">
        <v>19</v>
      </c>
      <c r="C11">
        <f>AVERAGEIFS(decay_nem_eu!$D:$D,decay_nem_eu!$C:$C,{"FR";"DE";"IT";"ES";"UK"},decay_nem_eu!$A:$A,"17")</f>
        <v>6.0746243255041438E-2</v>
      </c>
      <c r="D11" t="s">
        <v>183</v>
      </c>
    </row>
    <row r="12" spans="1:4" x14ac:dyDescent="0.25">
      <c r="A12" t="s">
        <v>20</v>
      </c>
      <c r="B12" t="s">
        <v>21</v>
      </c>
      <c r="C12">
        <f>AVERAGEIFS(decay_nem_eu!$D:$D,decay_nem_eu!$C:$C,{"FR";"DE";"IT";"ES";"UK"},decay_nem_eu!$A:$A,"18")</f>
        <v>5.9333507332770596E-2</v>
      </c>
      <c r="D12" t="s">
        <v>183</v>
      </c>
    </row>
    <row r="13" spans="1:4" x14ac:dyDescent="0.25">
      <c r="A13" t="s">
        <v>22</v>
      </c>
      <c r="B13" t="s">
        <v>23</v>
      </c>
      <c r="C13">
        <f>AVERAGEIFS(decay_nem_eu!$D:$D,decay_nem_eu!$C:$C,{"FR";"DE";"IT";"ES";"UK"},decay_nem_eu!$A:$A,"18")</f>
        <v>5.9333507332770596E-2</v>
      </c>
      <c r="D13" t="s">
        <v>183</v>
      </c>
    </row>
    <row r="14" spans="1:4" x14ac:dyDescent="0.25">
      <c r="A14" t="s">
        <v>24</v>
      </c>
      <c r="B14" t="s">
        <v>25</v>
      </c>
      <c r="C14">
        <f>AVERAGEIFS(decay_nem_eu!$D:$D,decay_nem_eu!$C:$C,{"FR";"DE";"IT";"ES";"UK"},decay_nem_eu!$A:$A,"05")</f>
        <v>5.8137151404362861E-2</v>
      </c>
      <c r="D14" t="s">
        <v>183</v>
      </c>
    </row>
    <row r="15" spans="1:4" x14ac:dyDescent="0.25">
      <c r="A15" t="s">
        <v>26</v>
      </c>
      <c r="B15" t="s">
        <v>27</v>
      </c>
      <c r="C15">
        <f>AVERAGEIFS(decay_nem_eu!$D:$D,decay_nem_eu!$C:$C,{"FR";"DE";"IT";"ES";"UK"},decay_nem_eu!$A:$A,"05")</f>
        <v>5.8137151404362861E-2</v>
      </c>
      <c r="D15" t="s">
        <v>183</v>
      </c>
    </row>
    <row r="16" spans="1:4" x14ac:dyDescent="0.25">
      <c r="A16" t="s">
        <v>28</v>
      </c>
      <c r="B16" t="s">
        <v>29</v>
      </c>
      <c r="C16">
        <f>AVERAGEIFS(decay_nem_eu!$D:$D,decay_nem_eu!$C:$C,{"FR";"DE";"IT";"ES";"UK"},decay_nem_eu!$A:$A,"10")</f>
        <v>6.1660232034921804E-2</v>
      </c>
      <c r="D16" t="s">
        <v>183</v>
      </c>
    </row>
    <row r="17" spans="1:4" x14ac:dyDescent="0.25">
      <c r="A17" t="s">
        <v>30</v>
      </c>
      <c r="B17" t="s">
        <v>31</v>
      </c>
      <c r="C17">
        <f>AVERAGEIFS(decay_nem_eu!$D:$D,decay_nem_eu!$C:$C,{"FR";"DE";"IT";"ES";"UK"},decay_nem_eu!$A:$A,"10")</f>
        <v>6.1660232034921804E-2</v>
      </c>
      <c r="D17" t="s">
        <v>183</v>
      </c>
    </row>
    <row r="18" spans="1:4" x14ac:dyDescent="0.25">
      <c r="A18" t="s">
        <v>32</v>
      </c>
      <c r="B18" t="s">
        <v>33</v>
      </c>
      <c r="C18">
        <f>AVERAGEIFS(decay_nem_eu!$D:$D,decay_nem_eu!$C:$C,{"FR";"DE";"IT";"ES";"UK"},decay_nem_eu!$A:$A,"10")</f>
        <v>6.1660232034921804E-2</v>
      </c>
      <c r="D18" t="s">
        <v>183</v>
      </c>
    </row>
    <row r="19" spans="1:4" x14ac:dyDescent="0.25">
      <c r="A19" t="s">
        <v>34</v>
      </c>
      <c r="B19" t="s">
        <v>35</v>
      </c>
      <c r="C19">
        <f>AVERAGEIFS(decay_nem_eu!$D:$D,decay_nem_eu!$C:$C,{"FR";"DE";"IT";"ES";"UK"},decay_nem_eu!$A:$A,"19")</f>
        <v>5.5632950633190043E-2</v>
      </c>
      <c r="D19" t="s">
        <v>183</v>
      </c>
    </row>
    <row r="20" spans="1:4" x14ac:dyDescent="0.25">
      <c r="A20" t="s">
        <v>36</v>
      </c>
      <c r="B20" t="s">
        <v>37</v>
      </c>
      <c r="C20">
        <f>AVERAGEIFS(decay_nem_eu!$D:$D,decay_nem_eu!$C:$C,{"FR";"DE";"IT";"ES";"UK"},decay_nem_eu!$A:$A,"09")</f>
        <v>5.0111404919168198E-2</v>
      </c>
      <c r="D20" t="s">
        <v>183</v>
      </c>
    </row>
    <row r="21" spans="1:4" x14ac:dyDescent="0.25">
      <c r="A21" t="s">
        <v>38</v>
      </c>
      <c r="B21" t="s">
        <v>39</v>
      </c>
      <c r="C21">
        <f>AVERAGEIFS(decay_nem_eu!$D:$D,decay_nem_eu!$C:$C,{"FR";"DE";"IT";"ES";"UK"},decay_nem_eu!$A:$A,"09")</f>
        <v>5.0111404919168198E-2</v>
      </c>
      <c r="D21" t="s">
        <v>183</v>
      </c>
    </row>
    <row r="22" spans="1:4" x14ac:dyDescent="0.25">
      <c r="A22" t="s">
        <v>40</v>
      </c>
      <c r="B22" t="s">
        <v>41</v>
      </c>
      <c r="C22">
        <f>AVERAGEIFS(decay_nem_eu!$D:$D,decay_nem_eu!$C:$C,{"FR";"DE";"IT";"ES";"UK"},decay_nem_eu!$A:$A,"09")</f>
        <v>5.0111404919168198E-2</v>
      </c>
      <c r="D22" t="s">
        <v>183</v>
      </c>
    </row>
    <row r="23" spans="1:4" x14ac:dyDescent="0.25">
      <c r="A23" t="s">
        <v>42</v>
      </c>
      <c r="B23" t="s">
        <v>43</v>
      </c>
      <c r="C23">
        <f>AVERAGEIFS(decay_nem_eu!$D:$D,decay_nem_eu!$C:$C,{"FR";"DE";"IT";"ES";"UK"},decay_nem_eu!$A:$A,"08")</f>
        <v>5.518311442110066E-2</v>
      </c>
      <c r="D23" t="s">
        <v>183</v>
      </c>
    </row>
    <row r="24" spans="1:4" x14ac:dyDescent="0.25">
      <c r="A24" t="s">
        <v>44</v>
      </c>
      <c r="B24" t="s">
        <v>45</v>
      </c>
      <c r="C24">
        <f>AVERAGEIFS(decay_nem_eu!$D:$D,decay_nem_eu!$C:$C,{"FR";"DE";"IT";"ES";"UK"},decay_nem_eu!$A:$A,"08")</f>
        <v>5.518311442110066E-2</v>
      </c>
      <c r="D24" t="s">
        <v>183</v>
      </c>
    </row>
    <row r="25" spans="1:4" x14ac:dyDescent="0.25">
      <c r="A25" t="s">
        <v>46</v>
      </c>
      <c r="B25" t="s">
        <v>47</v>
      </c>
      <c r="C25">
        <f>AVERAGEIFS(decay_nem_eu!$D:$D,decay_nem_eu!$C:$C,{"FR";"DE";"IT";"ES";"UK"},decay_nem_eu!$A:$A,"08")</f>
        <v>5.518311442110066E-2</v>
      </c>
      <c r="D25" t="s">
        <v>183</v>
      </c>
    </row>
    <row r="26" spans="1:4" x14ac:dyDescent="0.25">
      <c r="A26" t="s">
        <v>48</v>
      </c>
      <c r="B26" t="s">
        <v>49</v>
      </c>
      <c r="C26">
        <f>AVERAGEIFS(decay_nem_eu!$D:$D,decay_nem_eu!$C:$C,{"FR";"DE";"IT";"ES";"UK"},decay_nem_eu!$A:$A,"11")</f>
        <v>5.6656434853254112E-2</v>
      </c>
      <c r="D26" t="s">
        <v>183</v>
      </c>
    </row>
    <row r="27" spans="1:4" x14ac:dyDescent="0.25">
      <c r="A27" t="s">
        <v>50</v>
      </c>
      <c r="B27" t="s">
        <v>51</v>
      </c>
      <c r="C27">
        <f>AVERAGEIFS(decay_nem_eu!$D:$D,decay_nem_eu!$C:$C,{"FR";"DE";"IT";"ES";"UK"},decay_nem_eu!$A:$A,"12")</f>
        <v>5.4135413263290445E-2</v>
      </c>
      <c r="D27" t="s">
        <v>183</v>
      </c>
    </row>
    <row r="28" spans="1:4" x14ac:dyDescent="0.25">
      <c r="A28" t="s">
        <v>52</v>
      </c>
      <c r="B28" t="s">
        <v>53</v>
      </c>
      <c r="C28">
        <f>AVERAGEIFS(decay_nem_eu!$D:$D,decay_nem_eu!$C:$C,{"FR";"DE";"IT";"ES";"UK"},decay_nem_eu!$A:$A,"13")</f>
        <v>6.0097132121407527E-2</v>
      </c>
      <c r="D28" t="s">
        <v>183</v>
      </c>
    </row>
    <row r="29" spans="1:4" x14ac:dyDescent="0.25">
      <c r="A29" t="s">
        <v>54</v>
      </c>
      <c r="B29" t="s">
        <v>55</v>
      </c>
      <c r="C29">
        <f>AVERAGEIFS(decay_nem_eu!$D:$D,decay_nem_eu!$C:$C,{"FR";"DE";"IT";"ES";"UK"},decay_nem_eu!$A:$A,"14")</f>
        <v>5.4620515177955249E-2</v>
      </c>
      <c r="D29" t="s">
        <v>183</v>
      </c>
    </row>
    <row r="30" spans="1:4" x14ac:dyDescent="0.25">
      <c r="A30" t="s">
        <v>56</v>
      </c>
      <c r="B30" t="s">
        <v>57</v>
      </c>
      <c r="C30">
        <f>AVERAGEIFS(decay_nem_eu!$D:$D,decay_nem_eu!$C:$C,{"FR";"DE";"IT";"ES";"UK"},decay_nem_eu!$A:$A,"14")</f>
        <v>5.4620515177955249E-2</v>
      </c>
      <c r="D30" t="s">
        <v>183</v>
      </c>
    </row>
    <row r="31" spans="1:4" x14ac:dyDescent="0.25">
      <c r="A31" t="s">
        <v>58</v>
      </c>
      <c r="B31" t="s">
        <v>59</v>
      </c>
      <c r="C31">
        <f>AVERAGEIFS(decay_nem_eu!$D:$D,decay_nem_eu!$C:$C,{"FR";"DE";"IT";"ES";"UK"},decay_nem_eu!$A:$A,"14")</f>
        <v>5.4620515177955249E-2</v>
      </c>
      <c r="D31" t="s">
        <v>183</v>
      </c>
    </row>
    <row r="32" spans="1:4" x14ac:dyDescent="0.25">
      <c r="A32" t="s">
        <v>60</v>
      </c>
      <c r="B32" t="s">
        <v>61</v>
      </c>
      <c r="C32">
        <f>AVERAGEIFS(decay_nem_eu!$D:$D,decay_nem_eu!$C:$C,{"FR";"DE";"IT";"ES";"UK"},decay_nem_eu!$A:$A,"15")</f>
        <v>5.8136386440403885E-2</v>
      </c>
      <c r="D32" t="s">
        <v>183</v>
      </c>
    </row>
    <row r="33" spans="1:4" x14ac:dyDescent="0.25">
      <c r="A33" t="s">
        <v>62</v>
      </c>
      <c r="B33" t="s">
        <v>63</v>
      </c>
      <c r="C33">
        <f>AVERAGEIFS(decay_nem_eu!$D:$D,decay_nem_eu!$C:$C,{"FR";"DE";"IT";"ES";"UK"},decay_nem_eu!$A:$A,"15")</f>
        <v>5.8136386440403885E-2</v>
      </c>
      <c r="D33" t="s">
        <v>183</v>
      </c>
    </row>
    <row r="34" spans="1:4" x14ac:dyDescent="0.25">
      <c r="A34" t="s">
        <v>64</v>
      </c>
      <c r="B34" t="s">
        <v>65</v>
      </c>
      <c r="C34">
        <f>AVERAGEIFS(decay_nem_eu!$D:$D,decay_nem_eu!$C:$C,{"FR";"DE";"IT";"ES";"UK"},decay_nem_eu!$A:$A,"20")</f>
        <v>7.1428571428571425E-2</v>
      </c>
      <c r="D34" t="s">
        <v>183</v>
      </c>
    </row>
    <row r="35" spans="1:4" x14ac:dyDescent="0.25">
      <c r="A35" t="s">
        <v>66</v>
      </c>
      <c r="B35" t="s">
        <v>67</v>
      </c>
      <c r="C35">
        <f>AVERAGEIFS(decay_nem_eu!$D:$D,decay_nem_eu!$C:$C,{"FR";"DE";"IT";"ES";"UK"},decay_nem_eu!$A:$A,"20")</f>
        <v>7.1428571428571425E-2</v>
      </c>
      <c r="D35" t="s">
        <v>183</v>
      </c>
    </row>
    <row r="36" spans="1:4" x14ac:dyDescent="0.25">
      <c r="A36" t="s">
        <v>68</v>
      </c>
      <c r="B36" t="s">
        <v>69</v>
      </c>
      <c r="C36">
        <f>AVERAGEIFS(decay_nem_eu!$D:$D,decay_nem_eu!$C:$C,{"FR";"DE";"IT";"ES";"UK"},decay_nem_eu!$A:$A,"06")</f>
        <v>5.1976884914927392E-2</v>
      </c>
      <c r="D36" t="s">
        <v>183</v>
      </c>
    </row>
    <row r="37" spans="1:4" x14ac:dyDescent="0.25">
      <c r="A37" t="s">
        <v>70</v>
      </c>
      <c r="B37" t="s">
        <v>71</v>
      </c>
      <c r="C37">
        <f>AVERAGEIFS(decay_nem_eu!$D:$D,decay_nem_eu!$C:$C,{"FR";"DE";"IT";"ES";"UK"},decay_nem_eu!$A:$A,"06")</f>
        <v>5.1976884914927392E-2</v>
      </c>
      <c r="D37" t="s">
        <v>183</v>
      </c>
    </row>
    <row r="38" spans="1:4" x14ac:dyDescent="0.25">
      <c r="A38" t="s">
        <v>72</v>
      </c>
      <c r="B38" t="s">
        <v>73</v>
      </c>
      <c r="C38">
        <f>AVERAGEIFS(decay_nem_eu!$D:$D,decay_nem_eu!$C:$C,{"FR";"DE";"IT";"ES";"UK"},decay_nem_eu!$A:$A,"06")</f>
        <v>5.1976884914927392E-2</v>
      </c>
      <c r="D38" t="s">
        <v>183</v>
      </c>
    </row>
    <row r="39" spans="1:4" x14ac:dyDescent="0.25">
      <c r="A39" t="s">
        <v>74</v>
      </c>
      <c r="B39" t="s">
        <v>75</v>
      </c>
      <c r="C39">
        <f>AVERAGEIFS(decay_nem_eu!$D:$D,decay_nem_eu!$C:$C,{"FR";"DE";"IT";"ES";"UK"},decay_nem_eu!$A:$A,"06")</f>
        <v>5.1976884914927392E-2</v>
      </c>
      <c r="D39" t="s">
        <v>183</v>
      </c>
    </row>
    <row r="40" spans="1:4" x14ac:dyDescent="0.25">
      <c r="A40" t="s">
        <v>76</v>
      </c>
      <c r="B40" t="s">
        <v>77</v>
      </c>
      <c r="C40">
        <f>AVERAGEIFS(decay_nem_eu!$D:$D,decay_nem_eu!$C:$C,{"FR";"DE";"IT";"ES";"UK"},decay_nem_eu!$A:$A,"06")</f>
        <v>5.1976884914927392E-2</v>
      </c>
      <c r="D40" t="s">
        <v>183</v>
      </c>
    </row>
    <row r="41" spans="1:4" x14ac:dyDescent="0.25">
      <c r="A41" t="s">
        <v>78</v>
      </c>
      <c r="B41" t="s">
        <v>79</v>
      </c>
      <c r="C41">
        <f>AVERAGEIFS(decay_nem_eu!$D:$D,decay_nem_eu!$C:$C,{"FR";"DE";"IT";"ES";"UK"},decay_nem_eu!$A:$A,"04")</f>
        <v>4.9267998199040312E-2</v>
      </c>
      <c r="D41" t="s">
        <v>183</v>
      </c>
    </row>
    <row r="42" spans="1:4" x14ac:dyDescent="0.25">
      <c r="A42" t="s">
        <v>80</v>
      </c>
      <c r="B42" t="s">
        <v>81</v>
      </c>
      <c r="C42">
        <f>AVERAGEIFS(decay_nem_eu!$D:$D,decay_nem_eu!$C:$C,{"FR";"DE";"IT";"ES";"UK"},decay_nem_eu!$A:$A,"21")</f>
        <v>7.5452515700393866E-2</v>
      </c>
      <c r="D42" t="s">
        <v>183</v>
      </c>
    </row>
    <row r="43" spans="1:4" x14ac:dyDescent="0.25">
      <c r="A43" t="s">
        <v>82</v>
      </c>
      <c r="B43" t="s">
        <v>83</v>
      </c>
      <c r="C43">
        <f>AVERAGEIFS(decay_nem_eu!$D:$D,decay_nem_eu!$C:$C,{"FR";"DE";"IT";"ES";"UK"},decay_nem_eu!$A:$A,"22")</f>
        <v>6.5410696747469604E-2</v>
      </c>
      <c r="D43" t="s">
        <v>183</v>
      </c>
    </row>
    <row r="44" spans="1:4" x14ac:dyDescent="0.25">
      <c r="A44" t="s">
        <v>84</v>
      </c>
      <c r="B44" t="s">
        <v>85</v>
      </c>
      <c r="C44">
        <f>AVERAGEIFS(decay_nem_eu!$D:$D,decay_nem_eu!$C:$C,{"FR";"DE";"IT";"ES";"UK"},decay_nem_eu!$A:$A,"23")</f>
        <v>3.602112915662975E-2</v>
      </c>
      <c r="D44" t="s">
        <v>183</v>
      </c>
    </row>
    <row r="45" spans="1:4" x14ac:dyDescent="0.25">
      <c r="A45" t="s">
        <v>86</v>
      </c>
      <c r="B45" t="s">
        <v>87</v>
      </c>
      <c r="C45">
        <f>AVERAGEIFS(decay_nem_eu!$D:$D,decay_nem_eu!$C:$C,{"FR";"DE";"IT";"ES";"UK"},decay_nem_eu!$A:$A,"24")</f>
        <v>7.9525419937033021E-2</v>
      </c>
      <c r="D45" t="s">
        <v>183</v>
      </c>
    </row>
    <row r="46" spans="1:4" x14ac:dyDescent="0.25">
      <c r="A46" t="s">
        <v>88</v>
      </c>
      <c r="B46" t="s">
        <v>89</v>
      </c>
      <c r="C46">
        <f>AVERAGEIFS(decay_nem_eu!$D:$D,decay_nem_eu!$C:$C,{"FR";"DE";"IT";"ES";"UK"},decay_nem_eu!$A:$A,"24")</f>
        <v>7.9525419937033021E-2</v>
      </c>
      <c r="D46" t="s">
        <v>183</v>
      </c>
    </row>
    <row r="47" spans="1:4" x14ac:dyDescent="0.25">
      <c r="A47" t="s">
        <v>90</v>
      </c>
      <c r="B47" t="s">
        <v>91</v>
      </c>
      <c r="C47">
        <f>AVERAGEIFS(decay_nem_eu!$D:$D,decay_nem_eu!$C:$C,{"FR";"DE";"IT";"ES";"UK"},decay_nem_eu!$A:$A,"25")</f>
        <v>4.0604752103998186E-2</v>
      </c>
      <c r="D47" t="s">
        <v>183</v>
      </c>
    </row>
    <row r="48" spans="1:4" x14ac:dyDescent="0.25">
      <c r="A48" t="s">
        <v>92</v>
      </c>
      <c r="B48" t="s">
        <v>93</v>
      </c>
      <c r="C48">
        <f>AVERAGEIFS(decay_nem_eu!$D:$D,decay_nem_eu!$C:$C,{"FR";"DE";"IT";"ES";"UK"},decay_nem_eu!$A:$A,"25")</f>
        <v>4.0604752103998186E-2</v>
      </c>
      <c r="D48" t="s">
        <v>183</v>
      </c>
    </row>
    <row r="49" spans="1:4" x14ac:dyDescent="0.25">
      <c r="A49" t="s">
        <v>94</v>
      </c>
      <c r="B49" t="s">
        <v>95</v>
      </c>
      <c r="C49">
        <f>AVERAGEIFS(decay_nem_eu!$D:$D,decay_nem_eu!$C:$C,{"FR";"DE";"IT";"ES";"UK"},decay_nem_eu!$A:$A,"25")</f>
        <v>4.0604752103998186E-2</v>
      </c>
      <c r="D49" t="s">
        <v>183</v>
      </c>
    </row>
    <row r="50" spans="1:4" x14ac:dyDescent="0.25">
      <c r="A50" t="s">
        <v>96</v>
      </c>
      <c r="B50" t="s">
        <v>97</v>
      </c>
      <c r="C50">
        <f>AVERAGEIFS(decay_nem_eu!$D:$D,decay_nem_eu!$C:$C,{"FR";"DE";"IT";"ES";"UK"},decay_nem_eu!$A:$A,"26")</f>
        <v>7.2004669253708797E-2</v>
      </c>
      <c r="D50" t="s">
        <v>183</v>
      </c>
    </row>
    <row r="51" spans="1:4" x14ac:dyDescent="0.25">
      <c r="A51" t="s">
        <v>98</v>
      </c>
      <c r="B51" t="s">
        <v>99</v>
      </c>
      <c r="C51">
        <f>AVERAGEIFS(decay_nem_eu!$D:$D,decay_nem_eu!$C:$C,{"FR";"DE";"IT";"ES";"UK"},decay_nem_eu!$A:$A,"28")</f>
        <v>4.8065026267802305E-2</v>
      </c>
      <c r="D51" t="s">
        <v>183</v>
      </c>
    </row>
    <row r="52" spans="1:4" x14ac:dyDescent="0.25">
      <c r="A52" t="s">
        <v>100</v>
      </c>
      <c r="B52" t="s">
        <v>101</v>
      </c>
      <c r="C52">
        <f>AVERAGEIFS(decay_nem_eu!$D:$D,decay_nem_eu!$C:$C,{"FR";"DE";"IT";"ES";"UK"},decay_nem_eu!$A:$A,"28")</f>
        <v>4.8065026267802305E-2</v>
      </c>
      <c r="D52" t="s">
        <v>183</v>
      </c>
    </row>
    <row r="53" spans="1:4" x14ac:dyDescent="0.25">
      <c r="A53" t="s">
        <v>102</v>
      </c>
      <c r="B53" t="s">
        <v>103</v>
      </c>
      <c r="C53">
        <f>AVERAGEIFS(decay_nem_eu!$D:$D,decay_nem_eu!$C:$C,{"FR";"DE";"IT";"ES";"UK"},decay_nem_eu!$A:$A,"28")</f>
        <v>4.8065026267802305E-2</v>
      </c>
      <c r="D53" t="s">
        <v>183</v>
      </c>
    </row>
    <row r="54" spans="1:4" x14ac:dyDescent="0.25">
      <c r="A54" t="s">
        <v>104</v>
      </c>
      <c r="B54" t="s">
        <v>105</v>
      </c>
      <c r="C54">
        <f>AVERAGEIFS(decay_nem_eu!$D:$D,decay_nem_eu!$C:$C,{"FR";"DE";"IT";"ES";"UK"},decay_nem_eu!$A:$A,"27")</f>
        <v>7.2006608217486487E-2</v>
      </c>
      <c r="D54" t="s">
        <v>183</v>
      </c>
    </row>
    <row r="55" spans="1:4" x14ac:dyDescent="0.25">
      <c r="A55" t="s">
        <v>106</v>
      </c>
      <c r="B55" t="s">
        <v>107</v>
      </c>
      <c r="C55">
        <f>AVERAGEIFS(decay_nem_eu!$D:$D,decay_nem_eu!$C:$C,{"FR";"DE";"IT";"ES";"UK"},decay_nem_eu!$A:$A,"29")</f>
        <v>6.4041676359525929E-2</v>
      </c>
      <c r="D55" t="s">
        <v>183</v>
      </c>
    </row>
    <row r="56" spans="1:4" x14ac:dyDescent="0.25">
      <c r="A56" t="s">
        <v>108</v>
      </c>
      <c r="B56" t="s">
        <v>109</v>
      </c>
      <c r="C56">
        <f>AVERAGEIFS(decay_nem_eu!$D:$D,decay_nem_eu!$C:$C,{"FR";"DE";"IT";"ES";"UK"},decay_nem_eu!$A:$A,"29")</f>
        <v>6.4041676359525929E-2</v>
      </c>
      <c r="D56" t="s">
        <v>183</v>
      </c>
    </row>
    <row r="57" spans="1:4" x14ac:dyDescent="0.25">
      <c r="A57" t="s">
        <v>110</v>
      </c>
      <c r="B57" t="s">
        <v>111</v>
      </c>
      <c r="C57">
        <f>AVERAGEIFS(decay_nem_eu!$D:$D,decay_nem_eu!$C:$C,{"FR";"DE";"IT";"ES";"UK"},decay_nem_eu!$A:$A,"30")</f>
        <v>5.1445717564284232E-2</v>
      </c>
      <c r="D57" t="s">
        <v>183</v>
      </c>
    </row>
    <row r="58" spans="1:4" x14ac:dyDescent="0.25">
      <c r="A58" t="s">
        <v>112</v>
      </c>
      <c r="B58" t="s">
        <v>113</v>
      </c>
      <c r="C58">
        <f>AVERAGEIFS(decay_nem_eu!$D:$D,decay_nem_eu!$C:$C,{"FR";"DE";"IT";"ES";"UK"},decay_nem_eu!$A:$A,"30")</f>
        <v>5.1445717564284232E-2</v>
      </c>
      <c r="D58" t="s">
        <v>183</v>
      </c>
    </row>
    <row r="59" spans="1:4" x14ac:dyDescent="0.25">
      <c r="A59" t="s">
        <v>114</v>
      </c>
      <c r="B59" t="s">
        <v>115</v>
      </c>
      <c r="C59">
        <f>AVERAGEIFS(decay_nem_eu!$D:$D,decay_nem_eu!$C:$C,{"FR";"DE";"IT";"ES";"UK"},decay_nem_eu!$A:$A,"30")</f>
        <v>5.1445717564284232E-2</v>
      </c>
      <c r="D59" t="s">
        <v>183</v>
      </c>
    </row>
    <row r="60" spans="1:4" x14ac:dyDescent="0.25">
      <c r="A60" t="s">
        <v>116</v>
      </c>
      <c r="B60" t="s">
        <v>117</v>
      </c>
      <c r="C60">
        <f>AVERAGEIFS(decay_nem_eu!$D:$D,decay_nem_eu!$C:$C,{"FR";"DE";"IT";"ES";"UK"},decay_nem_eu!$A:$A,"30")</f>
        <v>5.1445717564284232E-2</v>
      </c>
      <c r="D60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67E0-84DD-4CCB-AC97-BE0B5604B962}">
  <dimension ref="A1:E60"/>
  <sheetViews>
    <sheetView topLeftCell="A34" workbookViewId="0">
      <selection sqref="A1:E60"/>
    </sheetView>
  </sheetViews>
  <sheetFormatPr defaultRowHeight="15" x14ac:dyDescent="0.25"/>
  <cols>
    <col min="1" max="1" width="16.7109375" customWidth="1"/>
    <col min="3" max="3" width="72.5703125" bestFit="1" customWidth="1"/>
    <col min="5" max="5" width="45.85546875" bestFit="1" customWidth="1"/>
  </cols>
  <sheetData>
    <row r="1" spans="1:5" x14ac:dyDescent="0.25">
      <c r="A1" t="s">
        <v>184</v>
      </c>
      <c r="B1" t="s">
        <v>118</v>
      </c>
      <c r="C1" t="s">
        <v>119</v>
      </c>
      <c r="D1" t="s">
        <v>120</v>
      </c>
      <c r="E1" t="s">
        <v>121</v>
      </c>
    </row>
    <row r="2" spans="1:5" x14ac:dyDescent="0.25">
      <c r="A2" t="s">
        <v>185</v>
      </c>
      <c r="B2" t="s">
        <v>0</v>
      </c>
      <c r="C2" t="s">
        <v>1</v>
      </c>
    </row>
    <row r="3" spans="1:5" x14ac:dyDescent="0.25">
      <c r="A3" t="s">
        <v>185</v>
      </c>
      <c r="B3" t="s">
        <v>2</v>
      </c>
      <c r="C3" t="s">
        <v>3</v>
      </c>
    </row>
    <row r="4" spans="1:5" x14ac:dyDescent="0.25">
      <c r="A4" t="s">
        <v>185</v>
      </c>
      <c r="B4" t="s">
        <v>4</v>
      </c>
      <c r="C4" t="s">
        <v>5</v>
      </c>
    </row>
    <row r="5" spans="1:5" x14ac:dyDescent="0.25">
      <c r="A5" t="s">
        <v>185</v>
      </c>
      <c r="B5" t="s">
        <v>6</v>
      </c>
      <c r="C5" t="s">
        <v>7</v>
      </c>
    </row>
    <row r="6" spans="1:5" x14ac:dyDescent="0.25">
      <c r="A6" t="s">
        <v>185</v>
      </c>
      <c r="B6" t="s">
        <v>8</v>
      </c>
      <c r="C6" t="s">
        <v>9</v>
      </c>
    </row>
    <row r="7" spans="1:5" x14ac:dyDescent="0.25">
      <c r="A7" t="s">
        <v>185</v>
      </c>
      <c r="B7" t="s">
        <v>10</v>
      </c>
      <c r="C7" t="s">
        <v>11</v>
      </c>
    </row>
    <row r="8" spans="1:5" x14ac:dyDescent="0.25">
      <c r="A8" t="s">
        <v>185</v>
      </c>
      <c r="B8" t="s">
        <v>12</v>
      </c>
      <c r="C8" t="s">
        <v>13</v>
      </c>
    </row>
    <row r="9" spans="1:5" x14ac:dyDescent="0.25">
      <c r="A9" t="s">
        <v>185</v>
      </c>
      <c r="B9" t="s">
        <v>14</v>
      </c>
      <c r="C9" t="s">
        <v>15</v>
      </c>
    </row>
    <row r="10" spans="1:5" x14ac:dyDescent="0.25">
      <c r="A10" t="s">
        <v>185</v>
      </c>
      <c r="B10" t="s">
        <v>16</v>
      </c>
      <c r="C10" t="s">
        <v>17</v>
      </c>
    </row>
    <row r="11" spans="1:5" x14ac:dyDescent="0.25">
      <c r="A11" t="s">
        <v>185</v>
      </c>
      <c r="B11" t="s">
        <v>18</v>
      </c>
      <c r="C11" t="s">
        <v>19</v>
      </c>
    </row>
    <row r="12" spans="1:5" x14ac:dyDescent="0.25">
      <c r="A12" t="s">
        <v>185</v>
      </c>
      <c r="B12" t="s">
        <v>20</v>
      </c>
      <c r="C12" t="s">
        <v>21</v>
      </c>
    </row>
    <row r="13" spans="1:5" x14ac:dyDescent="0.25">
      <c r="A13" t="s">
        <v>185</v>
      </c>
      <c r="B13" t="s">
        <v>22</v>
      </c>
      <c r="C13" t="s">
        <v>23</v>
      </c>
    </row>
    <row r="14" spans="1:5" x14ac:dyDescent="0.25">
      <c r="A14" t="s">
        <v>185</v>
      </c>
      <c r="B14" t="s">
        <v>24</v>
      </c>
      <c r="C14" t="s">
        <v>25</v>
      </c>
    </row>
    <row r="15" spans="1:5" x14ac:dyDescent="0.25">
      <c r="A15" t="s">
        <v>185</v>
      </c>
      <c r="B15" t="s">
        <v>26</v>
      </c>
      <c r="C15" t="s">
        <v>27</v>
      </c>
    </row>
    <row r="16" spans="1:5" x14ac:dyDescent="0.25">
      <c r="A16" t="s">
        <v>185</v>
      </c>
      <c r="B16" t="s">
        <v>28</v>
      </c>
      <c r="C16" t="s">
        <v>29</v>
      </c>
    </row>
    <row r="17" spans="1:3" x14ac:dyDescent="0.25">
      <c r="A17" t="s">
        <v>185</v>
      </c>
      <c r="B17" t="s">
        <v>30</v>
      </c>
      <c r="C17" t="s">
        <v>31</v>
      </c>
    </row>
    <row r="18" spans="1:3" x14ac:dyDescent="0.25">
      <c r="A18" t="s">
        <v>185</v>
      </c>
      <c r="B18" t="s">
        <v>32</v>
      </c>
      <c r="C18" t="s">
        <v>33</v>
      </c>
    </row>
    <row r="19" spans="1:3" x14ac:dyDescent="0.25">
      <c r="A19" t="s">
        <v>185</v>
      </c>
      <c r="B19" t="s">
        <v>34</v>
      </c>
      <c r="C19" t="s">
        <v>35</v>
      </c>
    </row>
    <row r="20" spans="1:3" x14ac:dyDescent="0.25">
      <c r="A20" t="s">
        <v>185</v>
      </c>
      <c r="B20" t="s">
        <v>36</v>
      </c>
      <c r="C20" t="s">
        <v>37</v>
      </c>
    </row>
    <row r="21" spans="1:3" x14ac:dyDescent="0.25">
      <c r="A21" t="s">
        <v>185</v>
      </c>
      <c r="B21" t="s">
        <v>38</v>
      </c>
      <c r="C21" t="s">
        <v>39</v>
      </c>
    </row>
    <row r="22" spans="1:3" x14ac:dyDescent="0.25">
      <c r="A22" t="s">
        <v>185</v>
      </c>
      <c r="B22" t="s">
        <v>40</v>
      </c>
      <c r="C22" t="s">
        <v>41</v>
      </c>
    </row>
    <row r="23" spans="1:3" x14ac:dyDescent="0.25">
      <c r="A23" t="s">
        <v>185</v>
      </c>
      <c r="B23" t="s">
        <v>42</v>
      </c>
      <c r="C23" t="s">
        <v>43</v>
      </c>
    </row>
    <row r="24" spans="1:3" x14ac:dyDescent="0.25">
      <c r="A24" t="s">
        <v>185</v>
      </c>
      <c r="B24" t="s">
        <v>44</v>
      </c>
      <c r="C24" t="s">
        <v>45</v>
      </c>
    </row>
    <row r="25" spans="1:3" x14ac:dyDescent="0.25">
      <c r="A25" t="s">
        <v>185</v>
      </c>
      <c r="B25" t="s">
        <v>46</v>
      </c>
      <c r="C25" t="s">
        <v>47</v>
      </c>
    </row>
    <row r="26" spans="1:3" x14ac:dyDescent="0.25">
      <c r="A26" t="s">
        <v>185</v>
      </c>
      <c r="B26" t="s">
        <v>48</v>
      </c>
      <c r="C26" t="s">
        <v>49</v>
      </c>
    </row>
    <row r="27" spans="1:3" x14ac:dyDescent="0.25">
      <c r="A27" t="s">
        <v>185</v>
      </c>
      <c r="B27" t="s">
        <v>50</v>
      </c>
      <c r="C27" t="s">
        <v>51</v>
      </c>
    </row>
    <row r="28" spans="1:3" x14ac:dyDescent="0.25">
      <c r="A28" t="s">
        <v>185</v>
      </c>
      <c r="B28" t="s">
        <v>52</v>
      </c>
      <c r="C28" t="s">
        <v>53</v>
      </c>
    </row>
    <row r="29" spans="1:3" x14ac:dyDescent="0.25">
      <c r="A29" t="s">
        <v>185</v>
      </c>
      <c r="B29" t="s">
        <v>54</v>
      </c>
      <c r="C29" t="s">
        <v>55</v>
      </c>
    </row>
    <row r="30" spans="1:3" x14ac:dyDescent="0.25">
      <c r="A30" t="s">
        <v>185</v>
      </c>
      <c r="B30" t="s">
        <v>56</v>
      </c>
      <c r="C30" t="s">
        <v>57</v>
      </c>
    </row>
    <row r="31" spans="1:3" x14ac:dyDescent="0.25">
      <c r="A31" t="s">
        <v>185</v>
      </c>
      <c r="B31" t="s">
        <v>58</v>
      </c>
      <c r="C31" t="s">
        <v>59</v>
      </c>
    </row>
    <row r="32" spans="1:3" x14ac:dyDescent="0.25">
      <c r="A32" t="s">
        <v>185</v>
      </c>
      <c r="B32" t="s">
        <v>60</v>
      </c>
      <c r="C32" t="s">
        <v>61</v>
      </c>
    </row>
    <row r="33" spans="1:3" x14ac:dyDescent="0.25">
      <c r="A33" t="s">
        <v>185</v>
      </c>
      <c r="B33" t="s">
        <v>62</v>
      </c>
      <c r="C33" t="s">
        <v>63</v>
      </c>
    </row>
    <row r="34" spans="1:3" x14ac:dyDescent="0.25">
      <c r="A34" t="s">
        <v>185</v>
      </c>
      <c r="B34" t="s">
        <v>64</v>
      </c>
      <c r="C34" t="s">
        <v>65</v>
      </c>
    </row>
    <row r="35" spans="1:3" x14ac:dyDescent="0.25">
      <c r="A35" t="s">
        <v>185</v>
      </c>
      <c r="B35" t="s">
        <v>66</v>
      </c>
      <c r="C35" t="s">
        <v>67</v>
      </c>
    </row>
    <row r="36" spans="1:3" x14ac:dyDescent="0.25">
      <c r="A36" t="s">
        <v>185</v>
      </c>
      <c r="B36" t="s">
        <v>68</v>
      </c>
      <c r="C36" t="s">
        <v>69</v>
      </c>
    </row>
    <row r="37" spans="1:3" x14ac:dyDescent="0.25">
      <c r="A37" t="s">
        <v>185</v>
      </c>
      <c r="B37" t="s">
        <v>70</v>
      </c>
      <c r="C37" t="s">
        <v>71</v>
      </c>
    </row>
    <row r="38" spans="1:3" x14ac:dyDescent="0.25">
      <c r="A38" t="s">
        <v>185</v>
      </c>
      <c r="B38" t="s">
        <v>72</v>
      </c>
      <c r="C38" t="s">
        <v>73</v>
      </c>
    </row>
    <row r="39" spans="1:3" x14ac:dyDescent="0.25">
      <c r="A39" t="s">
        <v>185</v>
      </c>
      <c r="B39" t="s">
        <v>74</v>
      </c>
      <c r="C39" t="s">
        <v>75</v>
      </c>
    </row>
    <row r="40" spans="1:3" x14ac:dyDescent="0.25">
      <c r="A40" t="s">
        <v>185</v>
      </c>
      <c r="B40" t="s">
        <v>76</v>
      </c>
      <c r="C40" t="s">
        <v>77</v>
      </c>
    </row>
    <row r="41" spans="1:3" x14ac:dyDescent="0.25">
      <c r="A41" t="s">
        <v>185</v>
      </c>
      <c r="B41" t="s">
        <v>78</v>
      </c>
      <c r="C41" t="s">
        <v>79</v>
      </c>
    </row>
    <row r="42" spans="1:3" x14ac:dyDescent="0.25">
      <c r="A42" t="s">
        <v>185</v>
      </c>
      <c r="B42" t="s">
        <v>80</v>
      </c>
      <c r="C42" t="s">
        <v>81</v>
      </c>
    </row>
    <row r="43" spans="1:3" x14ac:dyDescent="0.25">
      <c r="A43" t="s">
        <v>185</v>
      </c>
      <c r="B43" t="s">
        <v>82</v>
      </c>
      <c r="C43" t="s">
        <v>83</v>
      </c>
    </row>
    <row r="44" spans="1:3" x14ac:dyDescent="0.25">
      <c r="A44" t="s">
        <v>185</v>
      </c>
      <c r="B44" t="s">
        <v>84</v>
      </c>
      <c r="C44" t="s">
        <v>85</v>
      </c>
    </row>
    <row r="45" spans="1:3" x14ac:dyDescent="0.25">
      <c r="A45" t="s">
        <v>185</v>
      </c>
      <c r="B45" t="s">
        <v>86</v>
      </c>
      <c r="C45" t="s">
        <v>87</v>
      </c>
    </row>
    <row r="46" spans="1:3" x14ac:dyDescent="0.25">
      <c r="A46" t="s">
        <v>185</v>
      </c>
      <c r="B46" t="s">
        <v>88</v>
      </c>
      <c r="C46" t="s">
        <v>89</v>
      </c>
    </row>
    <row r="47" spans="1:3" x14ac:dyDescent="0.25">
      <c r="A47" t="s">
        <v>185</v>
      </c>
      <c r="B47" t="s">
        <v>90</v>
      </c>
      <c r="C47" t="s">
        <v>91</v>
      </c>
    </row>
    <row r="48" spans="1:3" x14ac:dyDescent="0.25">
      <c r="A48" t="s">
        <v>185</v>
      </c>
      <c r="B48" t="s">
        <v>92</v>
      </c>
      <c r="C48" t="s">
        <v>93</v>
      </c>
    </row>
    <row r="49" spans="1:3" x14ac:dyDescent="0.25">
      <c r="A49" t="s">
        <v>185</v>
      </c>
      <c r="B49" t="s">
        <v>94</v>
      </c>
      <c r="C49" t="s">
        <v>95</v>
      </c>
    </row>
    <row r="50" spans="1:3" x14ac:dyDescent="0.25">
      <c r="A50" t="s">
        <v>185</v>
      </c>
      <c r="B50" t="s">
        <v>96</v>
      </c>
      <c r="C50" t="s">
        <v>97</v>
      </c>
    </row>
    <row r="51" spans="1:3" x14ac:dyDescent="0.25">
      <c r="A51" t="s">
        <v>185</v>
      </c>
      <c r="B51" t="s">
        <v>98</v>
      </c>
      <c r="C51" t="s">
        <v>99</v>
      </c>
    </row>
    <row r="52" spans="1:3" x14ac:dyDescent="0.25">
      <c r="A52" t="s">
        <v>185</v>
      </c>
      <c r="B52" t="s">
        <v>100</v>
      </c>
      <c r="C52" t="s">
        <v>101</v>
      </c>
    </row>
    <row r="53" spans="1:3" x14ac:dyDescent="0.25">
      <c r="A53" t="s">
        <v>185</v>
      </c>
      <c r="B53" t="s">
        <v>102</v>
      </c>
      <c r="C53" t="s">
        <v>103</v>
      </c>
    </row>
    <row r="54" spans="1:3" x14ac:dyDescent="0.25">
      <c r="A54" t="s">
        <v>185</v>
      </c>
      <c r="B54" t="s">
        <v>104</v>
      </c>
      <c r="C54" t="s">
        <v>105</v>
      </c>
    </row>
    <row r="55" spans="1:3" x14ac:dyDescent="0.25">
      <c r="A55" t="s">
        <v>185</v>
      </c>
      <c r="B55" t="s">
        <v>106</v>
      </c>
      <c r="C55" t="s">
        <v>107</v>
      </c>
    </row>
    <row r="56" spans="1:3" x14ac:dyDescent="0.25">
      <c r="A56" t="s">
        <v>185</v>
      </c>
      <c r="B56" t="s">
        <v>108</v>
      </c>
      <c r="C56" t="s">
        <v>109</v>
      </c>
    </row>
    <row r="57" spans="1:3" x14ac:dyDescent="0.25">
      <c r="A57" t="s">
        <v>185</v>
      </c>
      <c r="B57" t="s">
        <v>110</v>
      </c>
      <c r="C57" t="s">
        <v>111</v>
      </c>
    </row>
    <row r="58" spans="1:3" x14ac:dyDescent="0.25">
      <c r="A58" t="s">
        <v>185</v>
      </c>
      <c r="B58" t="s">
        <v>112</v>
      </c>
      <c r="C58" t="s">
        <v>113</v>
      </c>
    </row>
    <row r="59" spans="1:3" x14ac:dyDescent="0.25">
      <c r="A59" t="s">
        <v>185</v>
      </c>
      <c r="B59" t="s">
        <v>114</v>
      </c>
      <c r="C59" t="s">
        <v>115</v>
      </c>
    </row>
    <row r="60" spans="1:3" x14ac:dyDescent="0.25">
      <c r="A60" t="s">
        <v>185</v>
      </c>
      <c r="B60" t="s">
        <v>116</v>
      </c>
      <c r="C60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414B-133F-4D2F-94E3-B699F8F9101C}">
  <dimension ref="A1:D930"/>
  <sheetViews>
    <sheetView workbookViewId="0">
      <selection activeCell="A931" sqref="A931:XFD931"/>
    </sheetView>
  </sheetViews>
  <sheetFormatPr defaultRowHeight="15" x14ac:dyDescent="0.25"/>
  <cols>
    <col min="2" max="2" width="27.42578125" bestFit="1" customWidth="1"/>
  </cols>
  <sheetData>
    <row r="1" spans="1:4" x14ac:dyDescent="0.25">
      <c r="A1" s="1" t="s">
        <v>0</v>
      </c>
      <c r="B1" t="s">
        <v>122</v>
      </c>
      <c r="C1" t="s">
        <v>152</v>
      </c>
      <c r="D1">
        <v>7.2469749704175565E-2</v>
      </c>
    </row>
    <row r="2" spans="1:4" x14ac:dyDescent="0.25">
      <c r="A2" s="1" t="s">
        <v>2</v>
      </c>
      <c r="B2" t="s">
        <v>123</v>
      </c>
      <c r="C2" t="s">
        <v>152</v>
      </c>
      <c r="D2">
        <v>5.0896695375995948E-2</v>
      </c>
    </row>
    <row r="3" spans="1:4" x14ac:dyDescent="0.25">
      <c r="A3" s="1" t="s">
        <v>4</v>
      </c>
      <c r="B3" t="s">
        <v>124</v>
      </c>
      <c r="C3" t="s">
        <v>152</v>
      </c>
      <c r="D3">
        <v>5.3423078670183893E-2</v>
      </c>
    </row>
    <row r="4" spans="1:4" x14ac:dyDescent="0.25">
      <c r="A4" s="1" t="s">
        <v>6</v>
      </c>
      <c r="B4" t="s">
        <v>125</v>
      </c>
      <c r="C4" t="s">
        <v>152</v>
      </c>
      <c r="D4">
        <v>4.5469925858664606E-2</v>
      </c>
    </row>
    <row r="5" spans="1:4" x14ac:dyDescent="0.25">
      <c r="A5" s="1" t="s">
        <v>8</v>
      </c>
      <c r="B5" t="s">
        <v>126</v>
      </c>
      <c r="C5" t="s">
        <v>152</v>
      </c>
      <c r="D5">
        <v>5.3297681275785769E-2</v>
      </c>
    </row>
    <row r="6" spans="1:4" x14ac:dyDescent="0.25">
      <c r="A6" s="1" t="s">
        <v>10</v>
      </c>
      <c r="B6" t="s">
        <v>127</v>
      </c>
      <c r="C6" t="s">
        <v>152</v>
      </c>
      <c r="D6">
        <v>5.2811245618944846E-2</v>
      </c>
    </row>
    <row r="7" spans="1:4" x14ac:dyDescent="0.25">
      <c r="A7" s="1" t="s">
        <v>12</v>
      </c>
      <c r="B7" t="s">
        <v>128</v>
      </c>
      <c r="C7" t="s">
        <v>152</v>
      </c>
      <c r="D7">
        <v>4.5541844085470788E-2</v>
      </c>
    </row>
    <row r="8" spans="1:4" x14ac:dyDescent="0.25">
      <c r="A8" s="1" t="s">
        <v>14</v>
      </c>
      <c r="B8" t="s">
        <v>129</v>
      </c>
      <c r="C8" t="s">
        <v>152</v>
      </c>
      <c r="D8">
        <v>5.6842692157330774E-2</v>
      </c>
    </row>
    <row r="9" spans="1:4" x14ac:dyDescent="0.25">
      <c r="A9" s="1" t="s">
        <v>16</v>
      </c>
      <c r="B9" t="s">
        <v>130</v>
      </c>
      <c r="C9" t="s">
        <v>152</v>
      </c>
      <c r="D9">
        <v>4.9308220854646131E-2</v>
      </c>
    </row>
    <row r="10" spans="1:4" x14ac:dyDescent="0.25">
      <c r="A10" s="1" t="s">
        <v>18</v>
      </c>
      <c r="B10" t="s">
        <v>131</v>
      </c>
      <c r="C10" t="s">
        <v>152</v>
      </c>
      <c r="D10">
        <v>6.134085077345925E-2</v>
      </c>
    </row>
    <row r="11" spans="1:4" x14ac:dyDescent="0.25">
      <c r="A11" s="1" t="s">
        <v>20</v>
      </c>
      <c r="B11" t="s">
        <v>132</v>
      </c>
      <c r="C11" t="s">
        <v>152</v>
      </c>
      <c r="D11">
        <v>5.6711526008018466E-2</v>
      </c>
    </row>
    <row r="12" spans="1:4" x14ac:dyDescent="0.25">
      <c r="A12" s="1" t="s">
        <v>22</v>
      </c>
      <c r="B12" t="s">
        <v>133</v>
      </c>
      <c r="C12" t="s">
        <v>152</v>
      </c>
      <c r="D12">
        <v>5.6879471688076132E-2</v>
      </c>
    </row>
    <row r="13" spans="1:4" x14ac:dyDescent="0.25">
      <c r="A13" s="1" t="s">
        <v>24</v>
      </c>
      <c r="B13" t="s">
        <v>134</v>
      </c>
      <c r="C13" t="s">
        <v>152</v>
      </c>
      <c r="D13">
        <v>6.068074536615381E-2</v>
      </c>
    </row>
    <row r="14" spans="1:4" x14ac:dyDescent="0.25">
      <c r="A14" s="1" t="s">
        <v>26</v>
      </c>
      <c r="B14" t="s">
        <v>135</v>
      </c>
      <c r="C14" t="s">
        <v>152</v>
      </c>
      <c r="D14">
        <v>5.4672005339463627E-2</v>
      </c>
    </row>
    <row r="15" spans="1:4" x14ac:dyDescent="0.25">
      <c r="A15" s="1" t="s">
        <v>28</v>
      </c>
      <c r="B15" t="s">
        <v>136</v>
      </c>
      <c r="C15" t="s">
        <v>152</v>
      </c>
      <c r="D15">
        <v>6.1753110934457164E-2</v>
      </c>
    </row>
    <row r="16" spans="1:4" x14ac:dyDescent="0.25">
      <c r="A16" s="1" t="s">
        <v>30</v>
      </c>
      <c r="B16" t="s">
        <v>137</v>
      </c>
      <c r="C16" t="s">
        <v>152</v>
      </c>
      <c r="D16">
        <v>5.9729477903832255E-2</v>
      </c>
    </row>
    <row r="17" spans="1:4" x14ac:dyDescent="0.25">
      <c r="A17" s="1" t="s">
        <v>32</v>
      </c>
      <c r="B17" t="s">
        <v>138</v>
      </c>
      <c r="C17" t="s">
        <v>152</v>
      </c>
      <c r="D17">
        <v>6.2646974798823682E-2</v>
      </c>
    </row>
    <row r="18" spans="1:4" x14ac:dyDescent="0.25">
      <c r="A18" s="1" t="s">
        <v>34</v>
      </c>
      <c r="B18" t="s">
        <v>139</v>
      </c>
      <c r="C18" t="s">
        <v>152</v>
      </c>
      <c r="D18">
        <v>6.1508986535500541E-2</v>
      </c>
    </row>
    <row r="19" spans="1:4" x14ac:dyDescent="0.25">
      <c r="A19" s="1" t="s">
        <v>36</v>
      </c>
      <c r="B19" t="s">
        <v>140</v>
      </c>
      <c r="C19" t="s">
        <v>152</v>
      </c>
      <c r="D19">
        <v>5.6526386722490253E-2</v>
      </c>
    </row>
    <row r="20" spans="1:4" x14ac:dyDescent="0.25">
      <c r="A20" s="1" t="s">
        <v>38</v>
      </c>
      <c r="B20" t="s">
        <v>141</v>
      </c>
      <c r="C20" t="s">
        <v>152</v>
      </c>
      <c r="D20">
        <v>6.0622104867471639E-2</v>
      </c>
    </row>
    <row r="21" spans="1:4" x14ac:dyDescent="0.25">
      <c r="A21" s="1" t="s">
        <v>40</v>
      </c>
      <c r="B21" t="s">
        <v>142</v>
      </c>
      <c r="C21" t="s">
        <v>152</v>
      </c>
      <c r="D21">
        <v>8.2404042141864531E-2</v>
      </c>
    </row>
    <row r="22" spans="1:4" x14ac:dyDescent="0.25">
      <c r="A22" s="1" t="s">
        <v>42</v>
      </c>
      <c r="B22" t="s">
        <v>143</v>
      </c>
      <c r="C22" t="s">
        <v>152</v>
      </c>
      <c r="D22">
        <v>5.9651391187957592E-2</v>
      </c>
    </row>
    <row r="23" spans="1:4" x14ac:dyDescent="0.25">
      <c r="A23" s="1" t="s">
        <v>44</v>
      </c>
      <c r="B23" t="s">
        <v>144</v>
      </c>
      <c r="C23" t="s">
        <v>152</v>
      </c>
      <c r="D23">
        <v>4.8865678082614057E-2</v>
      </c>
    </row>
    <row r="24" spans="1:4" x14ac:dyDescent="0.25">
      <c r="A24" s="1" t="s">
        <v>46</v>
      </c>
      <c r="B24" t="s">
        <v>145</v>
      </c>
      <c r="C24" t="s">
        <v>152</v>
      </c>
      <c r="D24">
        <v>8.3473302584998646E-2</v>
      </c>
    </row>
    <row r="25" spans="1:4" x14ac:dyDescent="0.25">
      <c r="A25" s="1" t="s">
        <v>48</v>
      </c>
      <c r="B25" t="s">
        <v>146</v>
      </c>
      <c r="C25" t="s">
        <v>152</v>
      </c>
      <c r="D25">
        <v>5.6064276498965927E-2</v>
      </c>
    </row>
    <row r="26" spans="1:4" x14ac:dyDescent="0.25">
      <c r="A26" s="1" t="s">
        <v>50</v>
      </c>
      <c r="B26" t="s">
        <v>147</v>
      </c>
      <c r="C26" t="s">
        <v>152</v>
      </c>
      <c r="D26">
        <v>7.1097129204433729E-2</v>
      </c>
    </row>
    <row r="27" spans="1:4" x14ac:dyDescent="0.25">
      <c r="A27" s="1" t="s">
        <v>52</v>
      </c>
      <c r="B27" t="s">
        <v>148</v>
      </c>
      <c r="C27" t="s">
        <v>152</v>
      </c>
      <c r="D27">
        <v>4.9517131968753014E-2</v>
      </c>
    </row>
    <row r="28" spans="1:4" x14ac:dyDescent="0.25">
      <c r="A28" s="1" t="s">
        <v>54</v>
      </c>
      <c r="B28" t="s">
        <v>149</v>
      </c>
      <c r="C28" t="s">
        <v>152</v>
      </c>
      <c r="D28">
        <v>6.9885604539845214E-2</v>
      </c>
    </row>
    <row r="29" spans="1:4" x14ac:dyDescent="0.25">
      <c r="A29" s="1" t="s">
        <v>56</v>
      </c>
      <c r="B29" t="s">
        <v>150</v>
      </c>
      <c r="C29" t="s">
        <v>152</v>
      </c>
      <c r="D29">
        <v>5.2908804527552922E-2</v>
      </c>
    </row>
    <row r="30" spans="1:4" x14ac:dyDescent="0.25">
      <c r="A30" s="1" t="s">
        <v>58</v>
      </c>
      <c r="B30" t="s">
        <v>151</v>
      </c>
      <c r="C30" t="s">
        <v>152</v>
      </c>
      <c r="D30">
        <v>5.1140910563569515E-2</v>
      </c>
    </row>
    <row r="31" spans="1:4" x14ac:dyDescent="0.25">
      <c r="A31" s="1" t="s">
        <v>0</v>
      </c>
      <c r="B31" t="s">
        <v>122</v>
      </c>
      <c r="C31" t="s">
        <v>154</v>
      </c>
      <c r="D31">
        <v>0.125</v>
      </c>
    </row>
    <row r="32" spans="1:4" x14ac:dyDescent="0.25">
      <c r="A32" s="1" t="s">
        <v>2</v>
      </c>
      <c r="B32" t="s">
        <v>123</v>
      </c>
      <c r="C32" t="s">
        <v>154</v>
      </c>
      <c r="D32">
        <v>7.1428571428571425E-2</v>
      </c>
    </row>
    <row r="33" spans="1:4" x14ac:dyDescent="0.25">
      <c r="A33" s="1" t="s">
        <v>4</v>
      </c>
      <c r="B33" t="s">
        <v>124</v>
      </c>
      <c r="C33" t="s">
        <v>154</v>
      </c>
      <c r="D33">
        <v>7.1428571428571425E-2</v>
      </c>
    </row>
    <row r="34" spans="1:4" x14ac:dyDescent="0.25">
      <c r="A34" s="1" t="s">
        <v>6</v>
      </c>
      <c r="B34" t="s">
        <v>125</v>
      </c>
      <c r="C34" t="s">
        <v>154</v>
      </c>
      <c r="D34">
        <v>5.2631578947368418E-2</v>
      </c>
    </row>
    <row r="35" spans="1:4" x14ac:dyDescent="0.25">
      <c r="A35" s="1" t="s">
        <v>8</v>
      </c>
      <c r="B35" t="s">
        <v>126</v>
      </c>
      <c r="C35" t="s">
        <v>154</v>
      </c>
      <c r="D35">
        <v>0.05</v>
      </c>
    </row>
    <row r="36" spans="1:4" x14ac:dyDescent="0.25">
      <c r="A36" s="1" t="s">
        <v>10</v>
      </c>
      <c r="B36" t="s">
        <v>127</v>
      </c>
      <c r="C36" t="s">
        <v>154</v>
      </c>
      <c r="D36">
        <v>0.05</v>
      </c>
    </row>
    <row r="37" spans="1:4" x14ac:dyDescent="0.25">
      <c r="A37" s="1" t="s">
        <v>12</v>
      </c>
      <c r="B37" t="s">
        <v>128</v>
      </c>
      <c r="C37" t="s">
        <v>154</v>
      </c>
      <c r="D37">
        <v>0.05</v>
      </c>
    </row>
    <row r="38" spans="1:4" x14ac:dyDescent="0.25">
      <c r="A38" s="1" t="s">
        <v>14</v>
      </c>
      <c r="B38" t="s">
        <v>129</v>
      </c>
      <c r="C38" t="s">
        <v>154</v>
      </c>
      <c r="D38">
        <v>0.05</v>
      </c>
    </row>
    <row r="39" spans="1:4" x14ac:dyDescent="0.25">
      <c r="A39" s="1" t="s">
        <v>16</v>
      </c>
      <c r="B39" t="s">
        <v>130</v>
      </c>
      <c r="C39" t="s">
        <v>154</v>
      </c>
      <c r="D39">
        <v>0.05</v>
      </c>
    </row>
    <row r="40" spans="1:4" x14ac:dyDescent="0.25">
      <c r="A40" s="1" t="s">
        <v>18</v>
      </c>
      <c r="B40" t="s">
        <v>131</v>
      </c>
      <c r="C40" t="s">
        <v>154</v>
      </c>
      <c r="D40">
        <v>0.05</v>
      </c>
    </row>
    <row r="41" spans="1:4" x14ac:dyDescent="0.25">
      <c r="A41" s="1" t="s">
        <v>20</v>
      </c>
      <c r="B41" t="s">
        <v>132</v>
      </c>
      <c r="C41" t="s">
        <v>154</v>
      </c>
      <c r="D41">
        <v>0.05</v>
      </c>
    </row>
    <row r="42" spans="1:4" x14ac:dyDescent="0.25">
      <c r="A42" s="1" t="s">
        <v>22</v>
      </c>
      <c r="B42" t="s">
        <v>133</v>
      </c>
      <c r="C42" t="s">
        <v>154</v>
      </c>
      <c r="D42">
        <v>0.05</v>
      </c>
    </row>
    <row r="43" spans="1:4" x14ac:dyDescent="0.25">
      <c r="A43" s="1" t="s">
        <v>24</v>
      </c>
      <c r="B43" t="s">
        <v>134</v>
      </c>
      <c r="C43" t="s">
        <v>154</v>
      </c>
      <c r="D43">
        <v>0.05</v>
      </c>
    </row>
    <row r="44" spans="1:4" x14ac:dyDescent="0.25">
      <c r="A44" s="1" t="s">
        <v>26</v>
      </c>
      <c r="B44" t="s">
        <v>135</v>
      </c>
      <c r="C44" t="s">
        <v>154</v>
      </c>
      <c r="D44">
        <v>0.05</v>
      </c>
    </row>
    <row r="45" spans="1:4" x14ac:dyDescent="0.25">
      <c r="A45" s="1" t="s">
        <v>28</v>
      </c>
      <c r="B45" t="s">
        <v>136</v>
      </c>
      <c r="C45" t="s">
        <v>154</v>
      </c>
      <c r="D45">
        <v>0.05</v>
      </c>
    </row>
    <row r="46" spans="1:4" x14ac:dyDescent="0.25">
      <c r="A46" s="1" t="s">
        <v>30</v>
      </c>
      <c r="B46" t="s">
        <v>137</v>
      </c>
      <c r="C46" t="s">
        <v>154</v>
      </c>
      <c r="D46">
        <v>4.5454545454545456E-2</v>
      </c>
    </row>
    <row r="47" spans="1:4" x14ac:dyDescent="0.25">
      <c r="A47" s="1" t="s">
        <v>32</v>
      </c>
      <c r="B47" t="s">
        <v>138</v>
      </c>
      <c r="C47" t="s">
        <v>154</v>
      </c>
      <c r="D47">
        <v>4.5454545454545456E-2</v>
      </c>
    </row>
    <row r="48" spans="1:4" x14ac:dyDescent="0.25">
      <c r="A48" s="1" t="s">
        <v>34</v>
      </c>
      <c r="B48" t="s">
        <v>139</v>
      </c>
      <c r="C48" t="s">
        <v>154</v>
      </c>
      <c r="D48">
        <v>0.05</v>
      </c>
    </row>
    <row r="49" spans="1:4" x14ac:dyDescent="0.25">
      <c r="A49" s="1" t="s">
        <v>36</v>
      </c>
      <c r="B49" t="s">
        <v>140</v>
      </c>
      <c r="C49" t="s">
        <v>154</v>
      </c>
      <c r="D49">
        <v>0.05</v>
      </c>
    </row>
    <row r="50" spans="1:4" x14ac:dyDescent="0.25">
      <c r="A50" s="1" t="s">
        <v>38</v>
      </c>
      <c r="B50" t="s">
        <v>141</v>
      </c>
      <c r="C50" t="s">
        <v>154</v>
      </c>
      <c r="D50">
        <v>0.05</v>
      </c>
    </row>
    <row r="51" spans="1:4" x14ac:dyDescent="0.25">
      <c r="A51" s="1" t="s">
        <v>40</v>
      </c>
      <c r="B51" t="s">
        <v>142</v>
      </c>
      <c r="C51" t="s">
        <v>154</v>
      </c>
      <c r="D51">
        <v>0.14285714285714285</v>
      </c>
    </row>
    <row r="52" spans="1:4" x14ac:dyDescent="0.25">
      <c r="A52" s="1" t="s">
        <v>42</v>
      </c>
      <c r="B52" t="s">
        <v>143</v>
      </c>
      <c r="C52" t="s">
        <v>154</v>
      </c>
      <c r="D52">
        <v>0.14285714285714285</v>
      </c>
    </row>
    <row r="53" spans="1:4" x14ac:dyDescent="0.25">
      <c r="A53" s="1" t="s">
        <v>44</v>
      </c>
      <c r="B53" t="s">
        <v>144</v>
      </c>
      <c r="C53" t="s">
        <v>154</v>
      </c>
      <c r="D53">
        <v>0.14285714285714285</v>
      </c>
    </row>
    <row r="54" spans="1:4" x14ac:dyDescent="0.25">
      <c r="A54" s="1" t="s">
        <v>46</v>
      </c>
      <c r="B54" t="s">
        <v>145</v>
      </c>
      <c r="C54" t="s">
        <v>154</v>
      </c>
      <c r="D54">
        <v>0.14285714285714285</v>
      </c>
    </row>
    <row r="55" spans="1:4" x14ac:dyDescent="0.25">
      <c r="A55" s="1" t="s">
        <v>48</v>
      </c>
      <c r="B55" t="s">
        <v>146</v>
      </c>
      <c r="C55" t="s">
        <v>154</v>
      </c>
      <c r="D55">
        <v>0.14285714285714285</v>
      </c>
    </row>
    <row r="56" spans="1:4" x14ac:dyDescent="0.25">
      <c r="A56" s="1" t="s">
        <v>50</v>
      </c>
      <c r="B56" t="s">
        <v>147</v>
      </c>
      <c r="C56" t="s">
        <v>154</v>
      </c>
      <c r="D56">
        <v>0.14285714285714285</v>
      </c>
    </row>
    <row r="57" spans="1:4" x14ac:dyDescent="0.25">
      <c r="A57" s="1" t="s">
        <v>52</v>
      </c>
      <c r="B57" t="s">
        <v>148</v>
      </c>
      <c r="C57" t="s">
        <v>154</v>
      </c>
      <c r="D57">
        <v>0.14285714285714285</v>
      </c>
    </row>
    <row r="58" spans="1:4" x14ac:dyDescent="0.25">
      <c r="A58" s="1" t="s">
        <v>54</v>
      </c>
      <c r="B58" t="s">
        <v>149</v>
      </c>
      <c r="C58" t="s">
        <v>154</v>
      </c>
      <c r="D58">
        <v>0.14285714285714285</v>
      </c>
    </row>
    <row r="59" spans="1:4" x14ac:dyDescent="0.25">
      <c r="A59" s="1" t="s">
        <v>56</v>
      </c>
      <c r="B59" t="s">
        <v>150</v>
      </c>
      <c r="C59" t="s">
        <v>154</v>
      </c>
      <c r="D59">
        <v>0.14285714285714285</v>
      </c>
    </row>
    <row r="60" spans="1:4" x14ac:dyDescent="0.25">
      <c r="A60" s="1" t="s">
        <v>58</v>
      </c>
      <c r="B60" t="s">
        <v>151</v>
      </c>
      <c r="C60" t="s">
        <v>154</v>
      </c>
      <c r="D60">
        <v>0.14285714285714285</v>
      </c>
    </row>
    <row r="61" spans="1:4" x14ac:dyDescent="0.25">
      <c r="A61" s="1" t="s">
        <v>0</v>
      </c>
      <c r="B61" t="s">
        <v>122</v>
      </c>
      <c r="C61" t="s">
        <v>155</v>
      </c>
      <c r="D61">
        <v>7.6998501090623048E-2</v>
      </c>
    </row>
    <row r="62" spans="1:4" x14ac:dyDescent="0.25">
      <c r="A62" s="1" t="s">
        <v>2</v>
      </c>
      <c r="B62" t="s">
        <v>123</v>
      </c>
      <c r="C62" t="s">
        <v>155</v>
      </c>
      <c r="D62">
        <v>5.0368302976061284E-2</v>
      </c>
    </row>
    <row r="63" spans="1:4" x14ac:dyDescent="0.25">
      <c r="A63" s="1" t="s">
        <v>4</v>
      </c>
      <c r="B63" t="s">
        <v>124</v>
      </c>
      <c r="C63" t="s">
        <v>155</v>
      </c>
      <c r="D63">
        <v>5.9232114713230997E-2</v>
      </c>
    </row>
    <row r="64" spans="1:4" x14ac:dyDescent="0.25">
      <c r="A64" s="1" t="s">
        <v>6</v>
      </c>
      <c r="B64" t="s">
        <v>125</v>
      </c>
      <c r="C64" t="s">
        <v>155</v>
      </c>
      <c r="D64">
        <v>4.6037023320929807E-2</v>
      </c>
    </row>
    <row r="65" spans="1:4" x14ac:dyDescent="0.25">
      <c r="A65" s="1" t="s">
        <v>8</v>
      </c>
      <c r="B65" t="s">
        <v>126</v>
      </c>
      <c r="C65" t="s">
        <v>155</v>
      </c>
      <c r="D65">
        <v>5.2544576103751676E-2</v>
      </c>
    </row>
    <row r="66" spans="1:4" x14ac:dyDescent="0.25">
      <c r="A66" s="1" t="s">
        <v>10</v>
      </c>
      <c r="B66" t="s">
        <v>127</v>
      </c>
      <c r="C66" t="s">
        <v>155</v>
      </c>
      <c r="D66">
        <v>5.1499133406256961E-2</v>
      </c>
    </row>
    <row r="67" spans="1:4" x14ac:dyDescent="0.25">
      <c r="A67" s="1" t="s">
        <v>12</v>
      </c>
      <c r="B67" t="s">
        <v>128</v>
      </c>
      <c r="C67" t="s">
        <v>155</v>
      </c>
      <c r="D67">
        <v>4.6168451631937363E-2</v>
      </c>
    </row>
    <row r="68" spans="1:4" x14ac:dyDescent="0.25">
      <c r="A68" s="1" t="s">
        <v>14</v>
      </c>
      <c r="B68" t="s">
        <v>129</v>
      </c>
      <c r="C68" t="s">
        <v>155</v>
      </c>
      <c r="D68">
        <v>5.4790948339251203E-2</v>
      </c>
    </row>
    <row r="69" spans="1:4" x14ac:dyDescent="0.25">
      <c r="A69" s="1" t="s">
        <v>16</v>
      </c>
      <c r="B69" t="s">
        <v>130</v>
      </c>
      <c r="C69" t="s">
        <v>155</v>
      </c>
      <c r="D69">
        <v>4.9091545095016086E-2</v>
      </c>
    </row>
    <row r="70" spans="1:4" x14ac:dyDescent="0.25">
      <c r="A70" s="1" t="s">
        <v>18</v>
      </c>
      <c r="B70" t="s">
        <v>131</v>
      </c>
      <c r="C70" t="s">
        <v>155</v>
      </c>
      <c r="D70">
        <v>6.0904672746454204E-2</v>
      </c>
    </row>
    <row r="71" spans="1:4" x14ac:dyDescent="0.25">
      <c r="A71" s="1" t="s">
        <v>20</v>
      </c>
      <c r="B71" t="s">
        <v>132</v>
      </c>
      <c r="C71" t="s">
        <v>155</v>
      </c>
      <c r="D71">
        <v>5.5052553041925842E-2</v>
      </c>
    </row>
    <row r="72" spans="1:4" x14ac:dyDescent="0.25">
      <c r="A72" s="1" t="s">
        <v>22</v>
      </c>
      <c r="B72" t="s">
        <v>133</v>
      </c>
      <c r="C72" t="s">
        <v>155</v>
      </c>
      <c r="D72">
        <v>5.6298461867897963E-2</v>
      </c>
    </row>
    <row r="73" spans="1:4" x14ac:dyDescent="0.25">
      <c r="A73" s="1" t="s">
        <v>24</v>
      </c>
      <c r="B73" t="s">
        <v>134</v>
      </c>
      <c r="C73" t="s">
        <v>155</v>
      </c>
      <c r="D73">
        <v>5.8580834998443451E-2</v>
      </c>
    </row>
    <row r="74" spans="1:4" x14ac:dyDescent="0.25">
      <c r="A74" s="1" t="s">
        <v>26</v>
      </c>
      <c r="B74" t="s">
        <v>135</v>
      </c>
      <c r="C74" t="s">
        <v>155</v>
      </c>
      <c r="D74">
        <v>5.5891802359581653E-2</v>
      </c>
    </row>
    <row r="75" spans="1:4" x14ac:dyDescent="0.25">
      <c r="A75" s="1" t="s">
        <v>28</v>
      </c>
      <c r="B75" t="s">
        <v>136</v>
      </c>
      <c r="C75" t="s">
        <v>155</v>
      </c>
      <c r="D75">
        <v>6.0524437769671417E-2</v>
      </c>
    </row>
    <row r="76" spans="1:4" x14ac:dyDescent="0.25">
      <c r="A76" s="1" t="s">
        <v>30</v>
      </c>
      <c r="B76" t="s">
        <v>137</v>
      </c>
      <c r="C76" t="s">
        <v>155</v>
      </c>
      <c r="D76">
        <v>5.7306379627736805E-2</v>
      </c>
    </row>
    <row r="77" spans="1:4" x14ac:dyDescent="0.25">
      <c r="A77" s="1" t="s">
        <v>32</v>
      </c>
      <c r="B77" t="s">
        <v>138</v>
      </c>
      <c r="C77" t="s">
        <v>155</v>
      </c>
      <c r="D77">
        <v>5.9464513682202652E-2</v>
      </c>
    </row>
    <row r="78" spans="1:4" x14ac:dyDescent="0.25">
      <c r="A78" s="1" t="s">
        <v>34</v>
      </c>
      <c r="B78" t="s">
        <v>139</v>
      </c>
      <c r="C78" t="s">
        <v>155</v>
      </c>
      <c r="D78">
        <v>6.2529375811348459E-2</v>
      </c>
    </row>
    <row r="79" spans="1:4" x14ac:dyDescent="0.25">
      <c r="A79" s="1" t="s">
        <v>36</v>
      </c>
      <c r="B79" t="s">
        <v>140</v>
      </c>
      <c r="C79" t="s">
        <v>155</v>
      </c>
      <c r="D79">
        <v>5.5553193485209595E-2</v>
      </c>
    </row>
    <row r="80" spans="1:4" x14ac:dyDescent="0.25">
      <c r="A80" s="1" t="s">
        <v>38</v>
      </c>
      <c r="B80" t="s">
        <v>141</v>
      </c>
      <c r="C80" t="s">
        <v>155</v>
      </c>
      <c r="D80">
        <v>5.629720526501128E-2</v>
      </c>
    </row>
    <row r="81" spans="1:4" x14ac:dyDescent="0.25">
      <c r="A81" s="1" t="s">
        <v>40</v>
      </c>
      <c r="B81" t="s">
        <v>142</v>
      </c>
      <c r="C81" t="s">
        <v>155</v>
      </c>
      <c r="D81">
        <v>7.5841982370892833E-2</v>
      </c>
    </row>
    <row r="82" spans="1:4" x14ac:dyDescent="0.25">
      <c r="A82" s="1" t="s">
        <v>42</v>
      </c>
      <c r="B82" t="s">
        <v>143</v>
      </c>
      <c r="C82" t="s">
        <v>155</v>
      </c>
      <c r="D82">
        <v>6.4038934925151572E-2</v>
      </c>
    </row>
    <row r="83" spans="1:4" x14ac:dyDescent="0.25">
      <c r="A83" s="1" t="s">
        <v>44</v>
      </c>
      <c r="B83" t="s">
        <v>144</v>
      </c>
      <c r="C83" t="s">
        <v>155</v>
      </c>
      <c r="D83">
        <v>6.5631892158777558E-2</v>
      </c>
    </row>
    <row r="84" spans="1:4" x14ac:dyDescent="0.25">
      <c r="A84" s="1" t="s">
        <v>46</v>
      </c>
      <c r="B84" t="s">
        <v>145</v>
      </c>
      <c r="C84" t="s">
        <v>155</v>
      </c>
      <c r="D84">
        <v>7.6500406001482488E-2</v>
      </c>
    </row>
    <row r="85" spans="1:4" x14ac:dyDescent="0.25">
      <c r="A85" s="1" t="s">
        <v>48</v>
      </c>
      <c r="B85" t="s">
        <v>146</v>
      </c>
      <c r="C85" t="s">
        <v>155</v>
      </c>
      <c r="D85">
        <v>5.7792389346777488E-2</v>
      </c>
    </row>
    <row r="86" spans="1:4" x14ac:dyDescent="0.25">
      <c r="A86" s="1" t="s">
        <v>50</v>
      </c>
      <c r="B86" t="s">
        <v>147</v>
      </c>
      <c r="C86" t="s">
        <v>155</v>
      </c>
      <c r="D86">
        <v>6.9353957732199378E-2</v>
      </c>
    </row>
    <row r="87" spans="1:4" x14ac:dyDescent="0.25">
      <c r="A87" s="1" t="s">
        <v>52</v>
      </c>
      <c r="B87" t="s">
        <v>148</v>
      </c>
      <c r="C87" t="s">
        <v>155</v>
      </c>
      <c r="D87">
        <v>5.2301019417578296E-2</v>
      </c>
    </row>
    <row r="88" spans="1:4" x14ac:dyDescent="0.25">
      <c r="A88" s="1" t="s">
        <v>54</v>
      </c>
      <c r="B88" t="s">
        <v>149</v>
      </c>
      <c r="C88" t="s">
        <v>155</v>
      </c>
      <c r="D88">
        <v>7.6639678298910843E-2</v>
      </c>
    </row>
    <row r="89" spans="1:4" x14ac:dyDescent="0.25">
      <c r="A89" s="1" t="s">
        <v>56</v>
      </c>
      <c r="B89" t="s">
        <v>150</v>
      </c>
      <c r="C89" t="s">
        <v>155</v>
      </c>
      <c r="D89">
        <v>4.832046649751856E-2</v>
      </c>
    </row>
    <row r="90" spans="1:4" x14ac:dyDescent="0.25">
      <c r="A90" s="1" t="s">
        <v>58</v>
      </c>
      <c r="B90" t="s">
        <v>151</v>
      </c>
      <c r="C90" t="s">
        <v>155</v>
      </c>
      <c r="D90">
        <v>5.4554433983682329E-2</v>
      </c>
    </row>
    <row r="91" spans="1:4" x14ac:dyDescent="0.25">
      <c r="A91" s="1" t="s">
        <v>0</v>
      </c>
      <c r="B91" t="s">
        <v>122</v>
      </c>
      <c r="C91" t="s">
        <v>156</v>
      </c>
      <c r="D91">
        <v>7.1969962720991112E-2</v>
      </c>
    </row>
    <row r="92" spans="1:4" x14ac:dyDescent="0.25">
      <c r="A92" s="1" t="s">
        <v>2</v>
      </c>
      <c r="B92" t="s">
        <v>123</v>
      </c>
      <c r="C92" t="s">
        <v>156</v>
      </c>
      <c r="D92">
        <v>5.1166605685510833E-2</v>
      </c>
    </row>
    <row r="93" spans="1:4" x14ac:dyDescent="0.25">
      <c r="A93" s="1" t="s">
        <v>4</v>
      </c>
      <c r="B93" t="s">
        <v>124</v>
      </c>
      <c r="C93" t="s">
        <v>156</v>
      </c>
      <c r="D93">
        <v>5.6555692119845631E-2</v>
      </c>
    </row>
    <row r="94" spans="1:4" x14ac:dyDescent="0.25">
      <c r="A94" s="1" t="s">
        <v>6</v>
      </c>
      <c r="B94" t="s">
        <v>125</v>
      </c>
      <c r="C94" t="s">
        <v>156</v>
      </c>
      <c r="D94">
        <v>4.5643180812624133E-2</v>
      </c>
    </row>
    <row r="95" spans="1:4" x14ac:dyDescent="0.25">
      <c r="A95" s="1" t="s">
        <v>8</v>
      </c>
      <c r="B95" t="s">
        <v>126</v>
      </c>
      <c r="C95" t="s">
        <v>156</v>
      </c>
      <c r="D95">
        <v>5.3248099005423405E-2</v>
      </c>
    </row>
    <row r="96" spans="1:4" x14ac:dyDescent="0.25">
      <c r="A96" s="1" t="s">
        <v>10</v>
      </c>
      <c r="B96" t="s">
        <v>127</v>
      </c>
      <c r="C96" t="s">
        <v>156</v>
      </c>
      <c r="D96">
        <v>5.2959275145782095E-2</v>
      </c>
    </row>
    <row r="97" spans="1:4" x14ac:dyDescent="0.25">
      <c r="A97" s="1" t="s">
        <v>12</v>
      </c>
      <c r="B97" t="s">
        <v>128</v>
      </c>
      <c r="C97" t="s">
        <v>156</v>
      </c>
      <c r="D97">
        <v>4.5835007854023342E-2</v>
      </c>
    </row>
    <row r="98" spans="1:4" x14ac:dyDescent="0.25">
      <c r="A98" s="1" t="s">
        <v>14</v>
      </c>
      <c r="B98" t="s">
        <v>129</v>
      </c>
      <c r="C98" t="s">
        <v>156</v>
      </c>
      <c r="D98">
        <v>5.6653287639682547E-2</v>
      </c>
    </row>
    <row r="99" spans="1:4" x14ac:dyDescent="0.25">
      <c r="A99" s="1" t="s">
        <v>16</v>
      </c>
      <c r="B99" t="s">
        <v>130</v>
      </c>
      <c r="C99" t="s">
        <v>156</v>
      </c>
      <c r="D99">
        <v>4.9750052794102127E-2</v>
      </c>
    </row>
    <row r="100" spans="1:4" x14ac:dyDescent="0.25">
      <c r="A100" s="1" t="s">
        <v>18</v>
      </c>
      <c r="B100" t="s">
        <v>131</v>
      </c>
      <c r="C100" t="s">
        <v>156</v>
      </c>
      <c r="D100">
        <v>6.1430398305861611E-2</v>
      </c>
    </row>
    <row r="101" spans="1:4" x14ac:dyDescent="0.25">
      <c r="A101" s="1" t="s">
        <v>20</v>
      </c>
      <c r="B101" t="s">
        <v>132</v>
      </c>
      <c r="C101" t="s">
        <v>156</v>
      </c>
      <c r="D101">
        <v>5.6363674252630953E-2</v>
      </c>
    </row>
    <row r="102" spans="1:4" x14ac:dyDescent="0.25">
      <c r="A102" s="1" t="s">
        <v>22</v>
      </c>
      <c r="B102" t="s">
        <v>133</v>
      </c>
      <c r="C102" t="s">
        <v>156</v>
      </c>
      <c r="D102">
        <v>5.7007304690933021E-2</v>
      </c>
    </row>
    <row r="103" spans="1:4" x14ac:dyDescent="0.25">
      <c r="A103" s="1" t="s">
        <v>24</v>
      </c>
      <c r="B103" t="s">
        <v>134</v>
      </c>
      <c r="C103" t="s">
        <v>156</v>
      </c>
      <c r="D103">
        <v>5.9869746668978492E-2</v>
      </c>
    </row>
    <row r="104" spans="1:4" x14ac:dyDescent="0.25">
      <c r="A104" s="1" t="s">
        <v>26</v>
      </c>
      <c r="B104" t="s">
        <v>135</v>
      </c>
      <c r="C104" t="s">
        <v>156</v>
      </c>
      <c r="D104">
        <v>5.5505405382047318E-2</v>
      </c>
    </row>
    <row r="105" spans="1:4" x14ac:dyDescent="0.25">
      <c r="A105" s="1" t="s">
        <v>28</v>
      </c>
      <c r="B105" t="s">
        <v>136</v>
      </c>
      <c r="C105" t="s">
        <v>156</v>
      </c>
      <c r="D105">
        <v>6.1597436580392594E-2</v>
      </c>
    </row>
    <row r="106" spans="1:4" x14ac:dyDescent="0.25">
      <c r="A106" s="1" t="s">
        <v>30</v>
      </c>
      <c r="B106" t="s">
        <v>137</v>
      </c>
      <c r="C106" t="s">
        <v>156</v>
      </c>
      <c r="D106">
        <v>5.9395540127997727E-2</v>
      </c>
    </row>
    <row r="107" spans="1:4" x14ac:dyDescent="0.25">
      <c r="A107" s="1" t="s">
        <v>32</v>
      </c>
      <c r="B107" t="s">
        <v>138</v>
      </c>
      <c r="C107" t="s">
        <v>156</v>
      </c>
      <c r="D107">
        <v>6.2347495441853702E-2</v>
      </c>
    </row>
    <row r="108" spans="1:4" x14ac:dyDescent="0.25">
      <c r="A108" s="1" t="s">
        <v>34</v>
      </c>
      <c r="B108" t="s">
        <v>139</v>
      </c>
      <c r="C108" t="s">
        <v>156</v>
      </c>
      <c r="D108">
        <v>6.3274074992722085E-2</v>
      </c>
    </row>
    <row r="109" spans="1:4" x14ac:dyDescent="0.25">
      <c r="A109" s="1" t="s">
        <v>36</v>
      </c>
      <c r="B109" t="s">
        <v>140</v>
      </c>
      <c r="C109" t="s">
        <v>156</v>
      </c>
      <c r="D109">
        <v>5.6086883780727591E-2</v>
      </c>
    </row>
    <row r="110" spans="1:4" x14ac:dyDescent="0.25">
      <c r="A110" s="1" t="s">
        <v>38</v>
      </c>
      <c r="B110" t="s">
        <v>141</v>
      </c>
      <c r="C110" t="s">
        <v>156</v>
      </c>
      <c r="D110">
        <v>5.9917270869237545E-2</v>
      </c>
    </row>
    <row r="111" spans="1:4" x14ac:dyDescent="0.25">
      <c r="A111" s="1" t="s">
        <v>40</v>
      </c>
      <c r="B111" t="s">
        <v>142</v>
      </c>
      <c r="C111" t="s">
        <v>156</v>
      </c>
      <c r="D111">
        <v>8.1530691169840463E-2</v>
      </c>
    </row>
    <row r="112" spans="1:4" x14ac:dyDescent="0.25">
      <c r="A112" s="1" t="s">
        <v>42</v>
      </c>
      <c r="B112" t="s">
        <v>143</v>
      </c>
      <c r="C112" t="s">
        <v>156</v>
      </c>
      <c r="D112">
        <v>5.9651391187957592E-2</v>
      </c>
    </row>
    <row r="113" spans="1:4" x14ac:dyDescent="0.25">
      <c r="A113" s="1" t="s">
        <v>44</v>
      </c>
      <c r="B113" t="s">
        <v>144</v>
      </c>
      <c r="C113" t="s">
        <v>156</v>
      </c>
      <c r="D113">
        <v>4.8865678082614057E-2</v>
      </c>
    </row>
    <row r="114" spans="1:4" x14ac:dyDescent="0.25">
      <c r="A114" s="1" t="s">
        <v>46</v>
      </c>
      <c r="B114" t="s">
        <v>145</v>
      </c>
      <c r="C114" t="s">
        <v>156</v>
      </c>
      <c r="D114">
        <v>8.3473302584998646E-2</v>
      </c>
    </row>
    <row r="115" spans="1:4" x14ac:dyDescent="0.25">
      <c r="A115" s="1" t="s">
        <v>48</v>
      </c>
      <c r="B115" t="s">
        <v>146</v>
      </c>
      <c r="C115" t="s">
        <v>156</v>
      </c>
      <c r="D115">
        <v>5.6064276498965927E-2</v>
      </c>
    </row>
    <row r="116" spans="1:4" x14ac:dyDescent="0.25">
      <c r="A116" s="1" t="s">
        <v>50</v>
      </c>
      <c r="B116" t="s">
        <v>147</v>
      </c>
      <c r="C116" t="s">
        <v>156</v>
      </c>
      <c r="D116">
        <v>7.1097129204433729E-2</v>
      </c>
    </row>
    <row r="117" spans="1:4" x14ac:dyDescent="0.25">
      <c r="A117" s="1" t="s">
        <v>52</v>
      </c>
      <c r="B117" t="s">
        <v>148</v>
      </c>
      <c r="C117" t="s">
        <v>156</v>
      </c>
      <c r="D117">
        <v>4.9517131968753014E-2</v>
      </c>
    </row>
    <row r="118" spans="1:4" x14ac:dyDescent="0.25">
      <c r="A118" s="1" t="s">
        <v>54</v>
      </c>
      <c r="B118" t="s">
        <v>149</v>
      </c>
      <c r="C118" t="s">
        <v>156</v>
      </c>
      <c r="D118">
        <v>6.9885604539845214E-2</v>
      </c>
    </row>
    <row r="119" spans="1:4" x14ac:dyDescent="0.25">
      <c r="A119" s="1" t="s">
        <v>56</v>
      </c>
      <c r="B119" t="s">
        <v>150</v>
      </c>
      <c r="C119" t="s">
        <v>156</v>
      </c>
      <c r="D119">
        <v>5.2908804527552922E-2</v>
      </c>
    </row>
    <row r="120" spans="1:4" x14ac:dyDescent="0.25">
      <c r="A120" s="1" t="s">
        <v>58</v>
      </c>
      <c r="B120" t="s">
        <v>151</v>
      </c>
      <c r="C120" t="s">
        <v>156</v>
      </c>
      <c r="D120">
        <v>5.1140910563569515E-2</v>
      </c>
    </row>
    <row r="121" spans="1:4" x14ac:dyDescent="0.25">
      <c r="A121" s="1" t="s">
        <v>0</v>
      </c>
      <c r="B121" t="s">
        <v>122</v>
      </c>
      <c r="C121" t="s">
        <v>157</v>
      </c>
      <c r="D121">
        <v>6.9482806538936112E-2</v>
      </c>
    </row>
    <row r="122" spans="1:4" x14ac:dyDescent="0.25">
      <c r="A122" s="1" t="s">
        <v>2</v>
      </c>
      <c r="B122" t="s">
        <v>123</v>
      </c>
      <c r="C122" t="s">
        <v>157</v>
      </c>
      <c r="D122">
        <v>5.1589395681780288E-2</v>
      </c>
    </row>
    <row r="123" spans="1:4" x14ac:dyDescent="0.25">
      <c r="A123" s="1" t="s">
        <v>4</v>
      </c>
      <c r="B123" t="s">
        <v>124</v>
      </c>
      <c r="C123" t="s">
        <v>157</v>
      </c>
      <c r="D123">
        <v>5.6384836792143365E-2</v>
      </c>
    </row>
    <row r="124" spans="1:4" x14ac:dyDescent="0.25">
      <c r="A124" s="1" t="s">
        <v>6</v>
      </c>
      <c r="B124" t="s">
        <v>125</v>
      </c>
      <c r="C124" t="s">
        <v>157</v>
      </c>
      <c r="D124">
        <v>4.7133442243389001E-2</v>
      </c>
    </row>
    <row r="125" spans="1:4" x14ac:dyDescent="0.25">
      <c r="A125" s="1" t="s">
        <v>8</v>
      </c>
      <c r="B125" t="s">
        <v>126</v>
      </c>
      <c r="C125" t="s">
        <v>157</v>
      </c>
      <c r="D125">
        <v>5.6399829134259803E-2</v>
      </c>
    </row>
    <row r="126" spans="1:4" x14ac:dyDescent="0.25">
      <c r="A126" s="1" t="s">
        <v>10</v>
      </c>
      <c r="B126" t="s">
        <v>127</v>
      </c>
      <c r="C126" t="s">
        <v>157</v>
      </c>
      <c r="D126">
        <v>4.9081932325573265E-2</v>
      </c>
    </row>
    <row r="127" spans="1:4" x14ac:dyDescent="0.25">
      <c r="A127" s="1" t="s">
        <v>12</v>
      </c>
      <c r="B127" t="s">
        <v>128</v>
      </c>
      <c r="C127" t="s">
        <v>157</v>
      </c>
      <c r="D127">
        <v>4.8062522827056961E-2</v>
      </c>
    </row>
    <row r="128" spans="1:4" x14ac:dyDescent="0.25">
      <c r="A128" s="1" t="s">
        <v>14</v>
      </c>
      <c r="B128" t="s">
        <v>129</v>
      </c>
      <c r="C128" t="s">
        <v>157</v>
      </c>
      <c r="D128">
        <v>5.5059789985543256E-2</v>
      </c>
    </row>
    <row r="129" spans="1:4" x14ac:dyDescent="0.25">
      <c r="A129" s="1" t="s">
        <v>16</v>
      </c>
      <c r="B129" t="s">
        <v>130</v>
      </c>
      <c r="C129" t="s">
        <v>157</v>
      </c>
      <c r="D129">
        <v>4.6033561532963618E-2</v>
      </c>
    </row>
    <row r="130" spans="1:4" x14ac:dyDescent="0.25">
      <c r="A130" s="1" t="s">
        <v>18</v>
      </c>
      <c r="B130" t="s">
        <v>131</v>
      </c>
      <c r="C130" t="s">
        <v>157</v>
      </c>
      <c r="D130">
        <v>5.9623640565332994E-2</v>
      </c>
    </row>
    <row r="131" spans="1:4" x14ac:dyDescent="0.25">
      <c r="A131" s="1" t="s">
        <v>20</v>
      </c>
      <c r="B131" t="s">
        <v>132</v>
      </c>
      <c r="C131" t="s">
        <v>157</v>
      </c>
      <c r="D131">
        <v>5.4910002177995368E-2</v>
      </c>
    </row>
    <row r="132" spans="1:4" x14ac:dyDescent="0.25">
      <c r="A132" s="1" t="s">
        <v>22</v>
      </c>
      <c r="B132" t="s">
        <v>133</v>
      </c>
      <c r="C132" t="s">
        <v>157</v>
      </c>
      <c r="D132">
        <v>5.2945953577234604E-2</v>
      </c>
    </row>
    <row r="133" spans="1:4" x14ac:dyDescent="0.25">
      <c r="A133" s="1" t="s">
        <v>24</v>
      </c>
      <c r="B133" t="s">
        <v>134</v>
      </c>
      <c r="C133" t="s">
        <v>157</v>
      </c>
      <c r="D133">
        <v>5.8897890237883777E-2</v>
      </c>
    </row>
    <row r="134" spans="1:4" x14ac:dyDescent="0.25">
      <c r="A134" s="1" t="s">
        <v>26</v>
      </c>
      <c r="B134" t="s">
        <v>135</v>
      </c>
      <c r="C134" t="s">
        <v>157</v>
      </c>
      <c r="D134">
        <v>5.4200201804754267E-2</v>
      </c>
    </row>
    <row r="135" spans="1:4" x14ac:dyDescent="0.25">
      <c r="A135" s="1" t="s">
        <v>28</v>
      </c>
      <c r="B135" t="s">
        <v>136</v>
      </c>
      <c r="C135" t="s">
        <v>157</v>
      </c>
      <c r="D135">
        <v>5.6812121954048091E-2</v>
      </c>
    </row>
    <row r="136" spans="1:4" x14ac:dyDescent="0.25">
      <c r="A136" s="1" t="s">
        <v>30</v>
      </c>
      <c r="B136" t="s">
        <v>137</v>
      </c>
      <c r="C136" t="s">
        <v>157</v>
      </c>
      <c r="D136">
        <v>5.5393382685873717E-2</v>
      </c>
    </row>
    <row r="137" spans="1:4" x14ac:dyDescent="0.25">
      <c r="A137" s="1" t="s">
        <v>32</v>
      </c>
      <c r="B137" t="s">
        <v>138</v>
      </c>
      <c r="C137" t="s">
        <v>157</v>
      </c>
      <c r="D137">
        <v>5.718739104489818E-2</v>
      </c>
    </row>
    <row r="138" spans="1:4" x14ac:dyDescent="0.25">
      <c r="A138" s="1" t="s">
        <v>34</v>
      </c>
      <c r="B138" t="s">
        <v>139</v>
      </c>
      <c r="C138" t="s">
        <v>157</v>
      </c>
      <c r="D138">
        <v>5.7427732643572392E-2</v>
      </c>
    </row>
    <row r="139" spans="1:4" x14ac:dyDescent="0.25">
      <c r="A139" s="1" t="s">
        <v>36</v>
      </c>
      <c r="B139" t="s">
        <v>140</v>
      </c>
      <c r="C139" t="s">
        <v>157</v>
      </c>
      <c r="D139">
        <v>5.4628342034608444E-2</v>
      </c>
    </row>
    <row r="140" spans="1:4" x14ac:dyDescent="0.25">
      <c r="A140" s="1" t="s">
        <v>38</v>
      </c>
      <c r="B140" t="s">
        <v>141</v>
      </c>
      <c r="C140" t="s">
        <v>157</v>
      </c>
      <c r="D140">
        <v>5.7042690852601739E-2</v>
      </c>
    </row>
    <row r="141" spans="1:4" x14ac:dyDescent="0.25">
      <c r="A141" s="1" t="s">
        <v>40</v>
      </c>
      <c r="B141" t="s">
        <v>142</v>
      </c>
      <c r="C141" t="s">
        <v>157</v>
      </c>
      <c r="D141">
        <v>6.9508935335299948E-2</v>
      </c>
    </row>
    <row r="142" spans="1:4" x14ac:dyDescent="0.25">
      <c r="A142" s="1" t="s">
        <v>42</v>
      </c>
      <c r="B142" t="s">
        <v>143</v>
      </c>
      <c r="C142" t="s">
        <v>157</v>
      </c>
      <c r="D142">
        <v>5.4279960301969868E-2</v>
      </c>
    </row>
    <row r="143" spans="1:4" x14ac:dyDescent="0.25">
      <c r="A143" s="1" t="s">
        <v>44</v>
      </c>
      <c r="B143" t="s">
        <v>144</v>
      </c>
      <c r="C143" t="s">
        <v>157</v>
      </c>
      <c r="D143">
        <v>2.7469542793162504E-2</v>
      </c>
    </row>
    <row r="144" spans="1:4" x14ac:dyDescent="0.25">
      <c r="A144" s="1" t="s">
        <v>46</v>
      </c>
      <c r="B144" t="s">
        <v>145</v>
      </c>
      <c r="C144" t="s">
        <v>157</v>
      </c>
      <c r="D144">
        <v>9.7927890376218199E-2</v>
      </c>
    </row>
    <row r="145" spans="1:4" x14ac:dyDescent="0.25">
      <c r="A145" s="1" t="s">
        <v>48</v>
      </c>
      <c r="B145" t="s">
        <v>146</v>
      </c>
      <c r="C145" t="s">
        <v>157</v>
      </c>
      <c r="D145">
        <v>5.7051888154561102E-2</v>
      </c>
    </row>
    <row r="146" spans="1:4" x14ac:dyDescent="0.25">
      <c r="A146" s="1" t="s">
        <v>50</v>
      </c>
      <c r="B146" t="s">
        <v>147</v>
      </c>
      <c r="C146" t="s">
        <v>157</v>
      </c>
      <c r="D146">
        <v>6.8158404996402716E-2</v>
      </c>
    </row>
    <row r="147" spans="1:4" x14ac:dyDescent="0.25">
      <c r="A147" s="1" t="s">
        <v>52</v>
      </c>
      <c r="B147" t="s">
        <v>148</v>
      </c>
      <c r="C147" t="s">
        <v>157</v>
      </c>
      <c r="D147">
        <v>5.3861330021986918E-2</v>
      </c>
    </row>
    <row r="148" spans="1:4" x14ac:dyDescent="0.25">
      <c r="A148" s="1" t="s">
        <v>54</v>
      </c>
      <c r="B148" t="s">
        <v>149</v>
      </c>
      <c r="C148" t="s">
        <v>157</v>
      </c>
      <c r="D148">
        <v>6.0343170160676654E-2</v>
      </c>
    </row>
    <row r="149" spans="1:4" x14ac:dyDescent="0.25">
      <c r="A149" s="1" t="s">
        <v>56</v>
      </c>
      <c r="B149" t="s">
        <v>150</v>
      </c>
      <c r="C149" t="s">
        <v>157</v>
      </c>
      <c r="D149">
        <v>4.8769617431018125E-2</v>
      </c>
    </row>
    <row r="150" spans="1:4" x14ac:dyDescent="0.25">
      <c r="A150" s="1" t="s">
        <v>58</v>
      </c>
      <c r="B150" t="s">
        <v>151</v>
      </c>
      <c r="C150" t="s">
        <v>157</v>
      </c>
      <c r="D150">
        <v>4.8877348287184243E-2</v>
      </c>
    </row>
    <row r="151" spans="1:4" x14ac:dyDescent="0.25">
      <c r="A151" s="1" t="s">
        <v>0</v>
      </c>
      <c r="B151" t="s">
        <v>122</v>
      </c>
      <c r="C151" t="s">
        <v>158</v>
      </c>
      <c r="D151">
        <v>6.7090361923556954E-2</v>
      </c>
    </row>
    <row r="152" spans="1:4" x14ac:dyDescent="0.25">
      <c r="A152" s="1" t="s">
        <v>2</v>
      </c>
      <c r="B152" t="s">
        <v>123</v>
      </c>
      <c r="C152" t="s">
        <v>158</v>
      </c>
      <c r="D152">
        <v>5.2445378104730801E-2</v>
      </c>
    </row>
    <row r="153" spans="1:4" x14ac:dyDescent="0.25">
      <c r="A153" s="1" t="s">
        <v>4</v>
      </c>
      <c r="B153" t="s">
        <v>124</v>
      </c>
      <c r="C153" t="s">
        <v>158</v>
      </c>
      <c r="D153">
        <v>4.9447983494555613E-2</v>
      </c>
    </row>
    <row r="154" spans="1:4" x14ac:dyDescent="0.25">
      <c r="A154" s="1" t="s">
        <v>6</v>
      </c>
      <c r="B154" t="s">
        <v>125</v>
      </c>
      <c r="C154" t="s">
        <v>158</v>
      </c>
      <c r="D154">
        <v>4.9267998199040312E-2</v>
      </c>
    </row>
    <row r="155" spans="1:4" x14ac:dyDescent="0.25">
      <c r="A155" s="1" t="s">
        <v>8</v>
      </c>
      <c r="B155" t="s">
        <v>126</v>
      </c>
      <c r="C155" t="s">
        <v>158</v>
      </c>
      <c r="D155">
        <v>5.8137151404362861E-2</v>
      </c>
    </row>
    <row r="156" spans="1:4" x14ac:dyDescent="0.25">
      <c r="A156" s="1" t="s">
        <v>10</v>
      </c>
      <c r="B156" t="s">
        <v>127</v>
      </c>
      <c r="C156" t="s">
        <v>158</v>
      </c>
      <c r="D156">
        <v>5.1976884914927392E-2</v>
      </c>
    </row>
    <row r="157" spans="1:4" x14ac:dyDescent="0.25">
      <c r="A157" s="1" t="s">
        <v>12</v>
      </c>
      <c r="B157" t="s">
        <v>128</v>
      </c>
      <c r="C157" t="s">
        <v>158</v>
      </c>
      <c r="D157">
        <v>4.9224725447642989E-2</v>
      </c>
    </row>
    <row r="158" spans="1:4" x14ac:dyDescent="0.25">
      <c r="A158" s="1" t="s">
        <v>14</v>
      </c>
      <c r="B158" t="s">
        <v>129</v>
      </c>
      <c r="C158" t="s">
        <v>158</v>
      </c>
      <c r="D158">
        <v>5.518311442110066E-2</v>
      </c>
    </row>
    <row r="159" spans="1:4" x14ac:dyDescent="0.25">
      <c r="A159" s="1" t="s">
        <v>16</v>
      </c>
      <c r="B159" t="s">
        <v>130</v>
      </c>
      <c r="C159" t="s">
        <v>158</v>
      </c>
      <c r="D159">
        <v>5.0111404919168198E-2</v>
      </c>
    </row>
    <row r="160" spans="1:4" x14ac:dyDescent="0.25">
      <c r="A160" s="1" t="s">
        <v>18</v>
      </c>
      <c r="B160" t="s">
        <v>131</v>
      </c>
      <c r="C160" t="s">
        <v>158</v>
      </c>
      <c r="D160">
        <v>6.1660232034921804E-2</v>
      </c>
    </row>
    <row r="161" spans="1:4" x14ac:dyDescent="0.25">
      <c r="A161" s="1" t="s">
        <v>20</v>
      </c>
      <c r="B161" t="s">
        <v>132</v>
      </c>
      <c r="C161" t="s">
        <v>158</v>
      </c>
      <c r="D161">
        <v>5.6656434853254112E-2</v>
      </c>
    </row>
    <row r="162" spans="1:4" x14ac:dyDescent="0.25">
      <c r="A162" s="1" t="s">
        <v>22</v>
      </c>
      <c r="B162" t="s">
        <v>133</v>
      </c>
      <c r="C162" t="s">
        <v>158</v>
      </c>
      <c r="D162">
        <v>5.4135413263290445E-2</v>
      </c>
    </row>
    <row r="163" spans="1:4" x14ac:dyDescent="0.25">
      <c r="A163" s="1" t="s">
        <v>24</v>
      </c>
      <c r="B163" t="s">
        <v>134</v>
      </c>
      <c r="C163" t="s">
        <v>158</v>
      </c>
      <c r="D163">
        <v>6.0097132121407527E-2</v>
      </c>
    </row>
    <row r="164" spans="1:4" x14ac:dyDescent="0.25">
      <c r="A164" s="1" t="s">
        <v>26</v>
      </c>
      <c r="B164" t="s">
        <v>135</v>
      </c>
      <c r="C164" t="s">
        <v>158</v>
      </c>
      <c r="D164">
        <v>5.4620515177955249E-2</v>
      </c>
    </row>
    <row r="165" spans="1:4" x14ac:dyDescent="0.25">
      <c r="A165" s="1" t="s">
        <v>28</v>
      </c>
      <c r="B165" t="s">
        <v>136</v>
      </c>
      <c r="C165" t="s">
        <v>158</v>
      </c>
      <c r="D165">
        <v>5.8136386440403885E-2</v>
      </c>
    </row>
    <row r="166" spans="1:4" x14ac:dyDescent="0.25">
      <c r="A166" s="1" t="s">
        <v>30</v>
      </c>
      <c r="B166" t="s">
        <v>137</v>
      </c>
      <c r="C166" t="s">
        <v>158</v>
      </c>
      <c r="D166">
        <v>5.8778332322576829E-2</v>
      </c>
    </row>
    <row r="167" spans="1:4" x14ac:dyDescent="0.25">
      <c r="A167" s="1" t="s">
        <v>32</v>
      </c>
      <c r="B167" t="s">
        <v>138</v>
      </c>
      <c r="C167" t="s">
        <v>158</v>
      </c>
      <c r="D167">
        <v>6.0746243255041438E-2</v>
      </c>
    </row>
    <row r="168" spans="1:4" x14ac:dyDescent="0.25">
      <c r="A168" s="1" t="s">
        <v>34</v>
      </c>
      <c r="B168" t="s">
        <v>139</v>
      </c>
      <c r="C168" t="s">
        <v>158</v>
      </c>
      <c r="D168">
        <v>5.9333507332770596E-2</v>
      </c>
    </row>
    <row r="169" spans="1:4" x14ac:dyDescent="0.25">
      <c r="A169" s="1" t="s">
        <v>36</v>
      </c>
      <c r="B169" t="s">
        <v>140</v>
      </c>
      <c r="C169" t="s">
        <v>158</v>
      </c>
      <c r="D169">
        <v>5.5632950633190043E-2</v>
      </c>
    </row>
    <row r="170" spans="1:4" x14ac:dyDescent="0.25">
      <c r="A170" s="1" t="s">
        <v>38</v>
      </c>
      <c r="B170" t="s">
        <v>141</v>
      </c>
      <c r="C170" t="s">
        <v>158</v>
      </c>
      <c r="D170">
        <v>7.1428571428571425E-2</v>
      </c>
    </row>
    <row r="171" spans="1:4" x14ac:dyDescent="0.25">
      <c r="A171" s="1" t="s">
        <v>40</v>
      </c>
      <c r="B171" t="s">
        <v>142</v>
      </c>
      <c r="C171" t="s">
        <v>158</v>
      </c>
      <c r="D171">
        <v>7.5452515700393866E-2</v>
      </c>
    </row>
    <row r="172" spans="1:4" x14ac:dyDescent="0.25">
      <c r="A172" s="1" t="s">
        <v>42</v>
      </c>
      <c r="B172" t="s">
        <v>143</v>
      </c>
      <c r="C172" t="s">
        <v>158</v>
      </c>
      <c r="D172">
        <v>6.5410696747469604E-2</v>
      </c>
    </row>
    <row r="173" spans="1:4" x14ac:dyDescent="0.25">
      <c r="A173" s="1" t="s">
        <v>44</v>
      </c>
      <c r="B173" t="s">
        <v>144</v>
      </c>
      <c r="C173" t="s">
        <v>158</v>
      </c>
      <c r="D173">
        <v>3.602112915662975E-2</v>
      </c>
    </row>
    <row r="174" spans="1:4" x14ac:dyDescent="0.25">
      <c r="A174" s="1" t="s">
        <v>46</v>
      </c>
      <c r="B174" t="s">
        <v>145</v>
      </c>
      <c r="C174" t="s">
        <v>158</v>
      </c>
      <c r="D174">
        <v>7.9525419937033021E-2</v>
      </c>
    </row>
    <row r="175" spans="1:4" x14ac:dyDescent="0.25">
      <c r="A175" s="1" t="s">
        <v>48</v>
      </c>
      <c r="B175" t="s">
        <v>146</v>
      </c>
      <c r="C175" t="s">
        <v>158</v>
      </c>
      <c r="D175">
        <v>4.0604752103998186E-2</v>
      </c>
    </row>
    <row r="176" spans="1:4" x14ac:dyDescent="0.25">
      <c r="A176" s="1" t="s">
        <v>50</v>
      </c>
      <c r="B176" t="s">
        <v>147</v>
      </c>
      <c r="C176" t="s">
        <v>158</v>
      </c>
      <c r="D176">
        <v>7.2004669253708797E-2</v>
      </c>
    </row>
    <row r="177" spans="1:4" x14ac:dyDescent="0.25">
      <c r="A177" s="1" t="s">
        <v>52</v>
      </c>
      <c r="B177" t="s">
        <v>148</v>
      </c>
      <c r="C177" t="s">
        <v>158</v>
      </c>
      <c r="D177">
        <v>7.2006608217486487E-2</v>
      </c>
    </row>
    <row r="178" spans="1:4" x14ac:dyDescent="0.25">
      <c r="A178" s="1" t="s">
        <v>54</v>
      </c>
      <c r="B178" t="s">
        <v>149</v>
      </c>
      <c r="C178" t="s">
        <v>158</v>
      </c>
      <c r="D178">
        <v>4.8065026267802305E-2</v>
      </c>
    </row>
    <row r="179" spans="1:4" x14ac:dyDescent="0.25">
      <c r="A179" s="1" t="s">
        <v>56</v>
      </c>
      <c r="B179" t="s">
        <v>150</v>
      </c>
      <c r="C179" t="s">
        <v>158</v>
      </c>
      <c r="D179">
        <v>6.4041676359525929E-2</v>
      </c>
    </row>
    <row r="180" spans="1:4" x14ac:dyDescent="0.25">
      <c r="A180" s="1" t="s">
        <v>58</v>
      </c>
      <c r="B180" t="s">
        <v>151</v>
      </c>
      <c r="C180" t="s">
        <v>158</v>
      </c>
      <c r="D180">
        <v>5.1445717564284232E-2</v>
      </c>
    </row>
    <row r="181" spans="1:4" x14ac:dyDescent="0.25">
      <c r="A181" s="1" t="s">
        <v>0</v>
      </c>
      <c r="B181" t="s">
        <v>122</v>
      </c>
      <c r="C181" t="s">
        <v>159</v>
      </c>
      <c r="D181">
        <v>7.3903727539617672E-2</v>
      </c>
    </row>
    <row r="182" spans="1:4" x14ac:dyDescent="0.25">
      <c r="A182" s="1" t="s">
        <v>2</v>
      </c>
      <c r="B182" t="s">
        <v>123</v>
      </c>
      <c r="C182" t="s">
        <v>159</v>
      </c>
      <c r="D182">
        <v>4.9998466748543385E-2</v>
      </c>
    </row>
    <row r="183" spans="1:4" x14ac:dyDescent="0.25">
      <c r="A183" s="1" t="s">
        <v>4</v>
      </c>
      <c r="B183" t="s">
        <v>124</v>
      </c>
      <c r="C183" t="s">
        <v>159</v>
      </c>
      <c r="D183">
        <v>5.1566727003107701E-2</v>
      </c>
    </row>
    <row r="184" spans="1:4" x14ac:dyDescent="0.25">
      <c r="A184" s="1" t="s">
        <v>6</v>
      </c>
      <c r="B184" t="s">
        <v>125</v>
      </c>
      <c r="C184" t="s">
        <v>159</v>
      </c>
      <c r="D184">
        <v>4.5471077995808303E-2</v>
      </c>
    </row>
    <row r="185" spans="1:4" x14ac:dyDescent="0.25">
      <c r="A185" s="1" t="s">
        <v>8</v>
      </c>
      <c r="B185" t="s">
        <v>126</v>
      </c>
      <c r="C185" t="s">
        <v>159</v>
      </c>
      <c r="D185">
        <v>5.3524451262136487E-2</v>
      </c>
    </row>
    <row r="186" spans="1:4" x14ac:dyDescent="0.25">
      <c r="A186" s="1" t="s">
        <v>10</v>
      </c>
      <c r="B186" t="s">
        <v>127</v>
      </c>
      <c r="C186" t="s">
        <v>159</v>
      </c>
      <c r="D186">
        <v>5.0490906390923615E-2</v>
      </c>
    </row>
    <row r="187" spans="1:4" x14ac:dyDescent="0.25">
      <c r="A187" s="1" t="s">
        <v>12</v>
      </c>
      <c r="B187" t="s">
        <v>128</v>
      </c>
      <c r="C187" t="s">
        <v>159</v>
      </c>
      <c r="D187">
        <v>4.5536190150716471E-2</v>
      </c>
    </row>
    <row r="188" spans="1:4" x14ac:dyDescent="0.25">
      <c r="A188" s="1" t="s">
        <v>14</v>
      </c>
      <c r="B188" t="s">
        <v>129</v>
      </c>
      <c r="C188" t="s">
        <v>159</v>
      </c>
      <c r="D188">
        <v>5.6569942205611491E-2</v>
      </c>
    </row>
    <row r="189" spans="1:4" x14ac:dyDescent="0.25">
      <c r="A189" s="1" t="s">
        <v>16</v>
      </c>
      <c r="B189" t="s">
        <v>130</v>
      </c>
      <c r="C189" t="s">
        <v>159</v>
      </c>
      <c r="D189">
        <v>4.7866839095449545E-2</v>
      </c>
    </row>
    <row r="190" spans="1:4" x14ac:dyDescent="0.25">
      <c r="A190" s="1" t="s">
        <v>18</v>
      </c>
      <c r="B190" t="s">
        <v>131</v>
      </c>
      <c r="C190" t="s">
        <v>159</v>
      </c>
      <c r="D190">
        <v>6.0692168542872418E-2</v>
      </c>
    </row>
    <row r="191" spans="1:4" x14ac:dyDescent="0.25">
      <c r="A191" s="1" t="s">
        <v>20</v>
      </c>
      <c r="B191" t="s">
        <v>132</v>
      </c>
      <c r="C191" t="s">
        <v>159</v>
      </c>
      <c r="D191">
        <v>5.6669562370443113E-2</v>
      </c>
    </row>
    <row r="192" spans="1:4" x14ac:dyDescent="0.25">
      <c r="A192" s="1" t="s">
        <v>22</v>
      </c>
      <c r="B192" t="s">
        <v>133</v>
      </c>
      <c r="C192" t="s">
        <v>159</v>
      </c>
      <c r="D192">
        <v>5.497984003811477E-2</v>
      </c>
    </row>
    <row r="193" spans="1:4" x14ac:dyDescent="0.25">
      <c r="A193" s="1" t="s">
        <v>24</v>
      </c>
      <c r="B193" t="s">
        <v>134</v>
      </c>
      <c r="C193" t="s">
        <v>159</v>
      </c>
      <c r="D193">
        <v>6.2104873384478135E-2</v>
      </c>
    </row>
    <row r="194" spans="1:4" x14ac:dyDescent="0.25">
      <c r="A194" s="1" t="s">
        <v>26</v>
      </c>
      <c r="B194" t="s">
        <v>135</v>
      </c>
      <c r="C194" t="s">
        <v>159</v>
      </c>
      <c r="D194">
        <v>5.2778688984762616E-2</v>
      </c>
    </row>
    <row r="195" spans="1:4" x14ac:dyDescent="0.25">
      <c r="A195" s="1" t="s">
        <v>28</v>
      </c>
      <c r="B195" t="s">
        <v>136</v>
      </c>
      <c r="C195" t="s">
        <v>159</v>
      </c>
      <c r="D195">
        <v>6.0946982183793179E-2</v>
      </c>
    </row>
    <row r="196" spans="1:4" x14ac:dyDescent="0.25">
      <c r="A196" s="1" t="s">
        <v>30</v>
      </c>
      <c r="B196" t="s">
        <v>137</v>
      </c>
      <c r="C196" t="s">
        <v>159</v>
      </c>
      <c r="D196">
        <v>5.8867051487562855E-2</v>
      </c>
    </row>
    <row r="197" spans="1:4" x14ac:dyDescent="0.25">
      <c r="A197" s="1" t="s">
        <v>32</v>
      </c>
      <c r="B197" t="s">
        <v>138</v>
      </c>
      <c r="C197" t="s">
        <v>159</v>
      </c>
      <c r="D197">
        <v>6.2164803893083424E-2</v>
      </c>
    </row>
    <row r="198" spans="1:4" x14ac:dyDescent="0.25">
      <c r="A198" s="1" t="s">
        <v>34</v>
      </c>
      <c r="B198" t="s">
        <v>139</v>
      </c>
      <c r="C198" t="s">
        <v>159</v>
      </c>
      <c r="D198">
        <v>6.1270504760850164E-2</v>
      </c>
    </row>
    <row r="199" spans="1:4" x14ac:dyDescent="0.25">
      <c r="A199" s="1" t="s">
        <v>36</v>
      </c>
      <c r="B199" t="s">
        <v>140</v>
      </c>
      <c r="C199" t="s">
        <v>159</v>
      </c>
      <c r="D199">
        <v>5.6733156731638111E-2</v>
      </c>
    </row>
    <row r="200" spans="1:4" x14ac:dyDescent="0.25">
      <c r="A200" s="1" t="s">
        <v>38</v>
      </c>
      <c r="B200" t="s">
        <v>141</v>
      </c>
      <c r="C200" t="s">
        <v>159</v>
      </c>
      <c r="D200">
        <v>6.0822743924469909E-2</v>
      </c>
    </row>
    <row r="201" spans="1:4" x14ac:dyDescent="0.25">
      <c r="A201" s="1" t="s">
        <v>40</v>
      </c>
      <c r="B201" t="s">
        <v>142</v>
      </c>
      <c r="C201" t="s">
        <v>159</v>
      </c>
      <c r="D201">
        <v>8.1379702668183868E-2</v>
      </c>
    </row>
    <row r="202" spans="1:4" x14ac:dyDescent="0.25">
      <c r="A202" s="1" t="s">
        <v>42</v>
      </c>
      <c r="B202" t="s">
        <v>143</v>
      </c>
      <c r="C202" t="s">
        <v>159</v>
      </c>
      <c r="D202">
        <v>5.5718699118682782E-2</v>
      </c>
    </row>
    <row r="203" spans="1:4" x14ac:dyDescent="0.25">
      <c r="A203" s="1" t="s">
        <v>44</v>
      </c>
      <c r="B203" t="s">
        <v>144</v>
      </c>
      <c r="C203" t="s">
        <v>159</v>
      </c>
      <c r="D203">
        <v>4.7009352221359053E-2</v>
      </c>
    </row>
    <row r="204" spans="1:4" x14ac:dyDescent="0.25">
      <c r="A204" s="1" t="s">
        <v>46</v>
      </c>
      <c r="B204" t="s">
        <v>145</v>
      </c>
      <c r="C204" t="s">
        <v>159</v>
      </c>
      <c r="D204">
        <v>7.9565123729472012E-2</v>
      </c>
    </row>
    <row r="205" spans="1:4" x14ac:dyDescent="0.25">
      <c r="A205" s="1" t="s">
        <v>48</v>
      </c>
      <c r="B205" t="s">
        <v>146</v>
      </c>
      <c r="C205" t="s">
        <v>159</v>
      </c>
      <c r="D205">
        <v>4.4079176902390611E-2</v>
      </c>
    </row>
    <row r="206" spans="1:4" x14ac:dyDescent="0.25">
      <c r="A206" s="1" t="s">
        <v>50</v>
      </c>
      <c r="B206" t="s">
        <v>147</v>
      </c>
      <c r="C206" t="s">
        <v>159</v>
      </c>
      <c r="D206">
        <v>6.5617533161746358E-2</v>
      </c>
    </row>
    <row r="207" spans="1:4" x14ac:dyDescent="0.25">
      <c r="A207" s="1" t="s">
        <v>52</v>
      </c>
      <c r="B207" t="s">
        <v>148</v>
      </c>
      <c r="C207" t="s">
        <v>159</v>
      </c>
      <c r="D207">
        <v>4.9156008518693527E-2</v>
      </c>
    </row>
    <row r="208" spans="1:4" x14ac:dyDescent="0.25">
      <c r="A208" s="1" t="s">
        <v>54</v>
      </c>
      <c r="B208" t="s">
        <v>149</v>
      </c>
      <c r="C208" t="s">
        <v>159</v>
      </c>
      <c r="D208">
        <v>6.8549452088345661E-2</v>
      </c>
    </row>
    <row r="209" spans="1:4" x14ac:dyDescent="0.25">
      <c r="A209" s="1" t="s">
        <v>56</v>
      </c>
      <c r="B209" t="s">
        <v>150</v>
      </c>
      <c r="C209" t="s">
        <v>159</v>
      </c>
      <c r="D209">
        <v>5.3244354099830048E-2</v>
      </c>
    </row>
    <row r="210" spans="1:4" x14ac:dyDescent="0.25">
      <c r="A210" s="1" t="s">
        <v>58</v>
      </c>
      <c r="B210" t="s">
        <v>151</v>
      </c>
      <c r="C210" t="s">
        <v>159</v>
      </c>
      <c r="D210">
        <v>5.0893714854660994E-2</v>
      </c>
    </row>
    <row r="211" spans="1:4" x14ac:dyDescent="0.25">
      <c r="A211" s="1" t="s">
        <v>0</v>
      </c>
      <c r="B211" t="s">
        <v>122</v>
      </c>
      <c r="C211" t="s">
        <v>160</v>
      </c>
      <c r="D211">
        <v>0.125</v>
      </c>
    </row>
    <row r="212" spans="1:4" x14ac:dyDescent="0.25">
      <c r="A212" s="1" t="s">
        <v>2</v>
      </c>
      <c r="B212" t="s">
        <v>123</v>
      </c>
      <c r="C212" t="s">
        <v>160</v>
      </c>
      <c r="D212">
        <v>7.1428571428571425E-2</v>
      </c>
    </row>
    <row r="213" spans="1:4" x14ac:dyDescent="0.25">
      <c r="A213" s="1" t="s">
        <v>4</v>
      </c>
      <c r="B213" t="s">
        <v>124</v>
      </c>
      <c r="C213" t="s">
        <v>160</v>
      </c>
      <c r="D213">
        <v>7.1428571428571425E-2</v>
      </c>
    </row>
    <row r="214" spans="1:4" x14ac:dyDescent="0.25">
      <c r="A214" s="1" t="s">
        <v>6</v>
      </c>
      <c r="B214" t="s">
        <v>125</v>
      </c>
      <c r="C214" t="s">
        <v>160</v>
      </c>
      <c r="D214">
        <v>5.2631578947368418E-2</v>
      </c>
    </row>
    <row r="215" spans="1:4" x14ac:dyDescent="0.25">
      <c r="A215" s="1" t="s">
        <v>8</v>
      </c>
      <c r="B215" t="s">
        <v>126</v>
      </c>
      <c r="C215" t="s">
        <v>160</v>
      </c>
      <c r="D215">
        <v>0.05</v>
      </c>
    </row>
    <row r="216" spans="1:4" x14ac:dyDescent="0.25">
      <c r="A216" s="1" t="s">
        <v>10</v>
      </c>
      <c r="B216" t="s">
        <v>127</v>
      </c>
      <c r="C216" t="s">
        <v>160</v>
      </c>
      <c r="D216">
        <v>0.05</v>
      </c>
    </row>
    <row r="217" spans="1:4" x14ac:dyDescent="0.25">
      <c r="A217" s="1" t="s">
        <v>12</v>
      </c>
      <c r="B217" t="s">
        <v>128</v>
      </c>
      <c r="C217" t="s">
        <v>160</v>
      </c>
      <c r="D217">
        <v>0.05</v>
      </c>
    </row>
    <row r="218" spans="1:4" x14ac:dyDescent="0.25">
      <c r="A218" s="1" t="s">
        <v>14</v>
      </c>
      <c r="B218" t="s">
        <v>129</v>
      </c>
      <c r="C218" t="s">
        <v>160</v>
      </c>
      <c r="D218">
        <v>0.05</v>
      </c>
    </row>
    <row r="219" spans="1:4" x14ac:dyDescent="0.25">
      <c r="A219" s="1" t="s">
        <v>16</v>
      </c>
      <c r="B219" t="s">
        <v>130</v>
      </c>
      <c r="C219" t="s">
        <v>160</v>
      </c>
      <c r="D219">
        <v>0.05</v>
      </c>
    </row>
    <row r="220" spans="1:4" x14ac:dyDescent="0.25">
      <c r="A220" s="1" t="s">
        <v>18</v>
      </c>
      <c r="B220" t="s">
        <v>131</v>
      </c>
      <c r="C220" t="s">
        <v>160</v>
      </c>
      <c r="D220">
        <v>0.05</v>
      </c>
    </row>
    <row r="221" spans="1:4" x14ac:dyDescent="0.25">
      <c r="A221" s="1" t="s">
        <v>20</v>
      </c>
      <c r="B221" t="s">
        <v>132</v>
      </c>
      <c r="C221" t="s">
        <v>160</v>
      </c>
      <c r="D221">
        <v>0.05</v>
      </c>
    </row>
    <row r="222" spans="1:4" x14ac:dyDescent="0.25">
      <c r="A222" s="1" t="s">
        <v>22</v>
      </c>
      <c r="B222" t="s">
        <v>133</v>
      </c>
      <c r="C222" t="s">
        <v>160</v>
      </c>
      <c r="D222">
        <v>0.05</v>
      </c>
    </row>
    <row r="223" spans="1:4" x14ac:dyDescent="0.25">
      <c r="A223" s="1" t="s">
        <v>24</v>
      </c>
      <c r="B223" t="s">
        <v>134</v>
      </c>
      <c r="C223" t="s">
        <v>160</v>
      </c>
      <c r="D223">
        <v>0.05</v>
      </c>
    </row>
    <row r="224" spans="1:4" x14ac:dyDescent="0.25">
      <c r="A224" s="1" t="s">
        <v>26</v>
      </c>
      <c r="B224" t="s">
        <v>135</v>
      </c>
      <c r="C224" t="s">
        <v>160</v>
      </c>
      <c r="D224">
        <v>0.05</v>
      </c>
    </row>
    <row r="225" spans="1:4" x14ac:dyDescent="0.25">
      <c r="A225" s="1" t="s">
        <v>28</v>
      </c>
      <c r="B225" t="s">
        <v>136</v>
      </c>
      <c r="C225" t="s">
        <v>160</v>
      </c>
      <c r="D225">
        <v>0.05</v>
      </c>
    </row>
    <row r="226" spans="1:4" x14ac:dyDescent="0.25">
      <c r="A226" s="1" t="s">
        <v>30</v>
      </c>
      <c r="B226" t="s">
        <v>137</v>
      </c>
      <c r="C226" t="s">
        <v>160</v>
      </c>
      <c r="D226">
        <v>4.5454545454545456E-2</v>
      </c>
    </row>
    <row r="227" spans="1:4" x14ac:dyDescent="0.25">
      <c r="A227" s="1" t="s">
        <v>32</v>
      </c>
      <c r="B227" t="s">
        <v>138</v>
      </c>
      <c r="C227" t="s">
        <v>160</v>
      </c>
      <c r="D227">
        <v>4.5454545454545456E-2</v>
      </c>
    </row>
    <row r="228" spans="1:4" x14ac:dyDescent="0.25">
      <c r="A228" s="1" t="s">
        <v>34</v>
      </c>
      <c r="B228" t="s">
        <v>139</v>
      </c>
      <c r="C228" t="s">
        <v>160</v>
      </c>
      <c r="D228">
        <v>0.05</v>
      </c>
    </row>
    <row r="229" spans="1:4" x14ac:dyDescent="0.25">
      <c r="A229" s="1" t="s">
        <v>36</v>
      </c>
      <c r="B229" t="s">
        <v>140</v>
      </c>
      <c r="C229" t="s">
        <v>160</v>
      </c>
      <c r="D229">
        <v>0.05</v>
      </c>
    </row>
    <row r="230" spans="1:4" x14ac:dyDescent="0.25">
      <c r="A230" s="1" t="s">
        <v>38</v>
      </c>
      <c r="B230" t="s">
        <v>141</v>
      </c>
      <c r="C230" t="s">
        <v>160</v>
      </c>
      <c r="D230">
        <v>0.05</v>
      </c>
    </row>
    <row r="231" spans="1:4" x14ac:dyDescent="0.25">
      <c r="A231" s="1" t="s">
        <v>40</v>
      </c>
      <c r="B231" t="s">
        <v>142</v>
      </c>
      <c r="C231" t="s">
        <v>160</v>
      </c>
      <c r="D231">
        <v>0.14285714285714285</v>
      </c>
    </row>
    <row r="232" spans="1:4" x14ac:dyDescent="0.25">
      <c r="A232" s="1" t="s">
        <v>42</v>
      </c>
      <c r="B232" t="s">
        <v>143</v>
      </c>
      <c r="C232" t="s">
        <v>160</v>
      </c>
      <c r="D232">
        <v>0.14285714285714285</v>
      </c>
    </row>
    <row r="233" spans="1:4" x14ac:dyDescent="0.25">
      <c r="A233" s="1" t="s">
        <v>44</v>
      </c>
      <c r="B233" t="s">
        <v>144</v>
      </c>
      <c r="C233" t="s">
        <v>160</v>
      </c>
      <c r="D233">
        <v>0.14285714285714285</v>
      </c>
    </row>
    <row r="234" spans="1:4" x14ac:dyDescent="0.25">
      <c r="A234" s="1" t="s">
        <v>46</v>
      </c>
      <c r="B234" t="s">
        <v>145</v>
      </c>
      <c r="C234" t="s">
        <v>160</v>
      </c>
      <c r="D234">
        <v>0.14285714285714285</v>
      </c>
    </row>
    <row r="235" spans="1:4" x14ac:dyDescent="0.25">
      <c r="A235" s="1" t="s">
        <v>48</v>
      </c>
      <c r="B235" t="s">
        <v>146</v>
      </c>
      <c r="C235" t="s">
        <v>160</v>
      </c>
      <c r="D235">
        <v>0.14285714285714285</v>
      </c>
    </row>
    <row r="236" spans="1:4" x14ac:dyDescent="0.25">
      <c r="A236" s="1" t="s">
        <v>50</v>
      </c>
      <c r="B236" t="s">
        <v>147</v>
      </c>
      <c r="C236" t="s">
        <v>160</v>
      </c>
      <c r="D236">
        <v>0.14285714285714285</v>
      </c>
    </row>
    <row r="237" spans="1:4" x14ac:dyDescent="0.25">
      <c r="A237" s="1" t="s">
        <v>52</v>
      </c>
      <c r="B237" t="s">
        <v>148</v>
      </c>
      <c r="C237" t="s">
        <v>160</v>
      </c>
      <c r="D237">
        <v>0.14285714285714285</v>
      </c>
    </row>
    <row r="238" spans="1:4" x14ac:dyDescent="0.25">
      <c r="A238" s="1" t="s">
        <v>54</v>
      </c>
      <c r="B238" t="s">
        <v>149</v>
      </c>
      <c r="C238" t="s">
        <v>160</v>
      </c>
      <c r="D238">
        <v>0.14285714285714285</v>
      </c>
    </row>
    <row r="239" spans="1:4" x14ac:dyDescent="0.25">
      <c r="A239" s="1" t="s">
        <v>56</v>
      </c>
      <c r="B239" t="s">
        <v>150</v>
      </c>
      <c r="C239" t="s">
        <v>160</v>
      </c>
      <c r="D239">
        <v>0.14285714285714285</v>
      </c>
    </row>
    <row r="240" spans="1:4" x14ac:dyDescent="0.25">
      <c r="A240" s="1" t="s">
        <v>58</v>
      </c>
      <c r="B240" t="s">
        <v>151</v>
      </c>
      <c r="C240" t="s">
        <v>160</v>
      </c>
      <c r="D240">
        <v>0.14285714285714285</v>
      </c>
    </row>
    <row r="241" spans="1:4" x14ac:dyDescent="0.25">
      <c r="A241" s="1" t="s">
        <v>0</v>
      </c>
      <c r="B241" t="s">
        <v>122</v>
      </c>
      <c r="C241" t="s">
        <v>161</v>
      </c>
      <c r="D241">
        <v>7.2111492358766516E-2</v>
      </c>
    </row>
    <row r="242" spans="1:4" x14ac:dyDescent="0.25">
      <c r="A242" s="1" t="s">
        <v>2</v>
      </c>
      <c r="B242" t="s">
        <v>123</v>
      </c>
      <c r="C242" t="s">
        <v>161</v>
      </c>
      <c r="D242">
        <v>5.1055865383634449E-2</v>
      </c>
    </row>
    <row r="243" spans="1:4" x14ac:dyDescent="0.25">
      <c r="A243" s="1" t="s">
        <v>4</v>
      </c>
      <c r="B243" t="s">
        <v>124</v>
      </c>
      <c r="C243" t="s">
        <v>161</v>
      </c>
      <c r="D243">
        <v>5.4215781434174944E-2</v>
      </c>
    </row>
    <row r="244" spans="1:4" x14ac:dyDescent="0.25">
      <c r="A244" s="1" t="s">
        <v>6</v>
      </c>
      <c r="B244" t="s">
        <v>125</v>
      </c>
      <c r="C244" t="s">
        <v>161</v>
      </c>
      <c r="D244">
        <v>4.5469921235426904E-2</v>
      </c>
    </row>
    <row r="245" spans="1:4" x14ac:dyDescent="0.25">
      <c r="A245" s="1" t="s">
        <v>8</v>
      </c>
      <c r="B245" t="s">
        <v>126</v>
      </c>
      <c r="C245" t="s">
        <v>161</v>
      </c>
      <c r="D245">
        <v>5.3503972734451628E-2</v>
      </c>
    </row>
    <row r="246" spans="1:4" x14ac:dyDescent="0.25">
      <c r="A246" s="1" t="s">
        <v>10</v>
      </c>
      <c r="B246" t="s">
        <v>127</v>
      </c>
      <c r="C246" t="s">
        <v>161</v>
      </c>
      <c r="D246">
        <v>5.2748077220587622E-2</v>
      </c>
    </row>
    <row r="247" spans="1:4" x14ac:dyDescent="0.25">
      <c r="A247" s="1" t="s">
        <v>12</v>
      </c>
      <c r="B247" t="s">
        <v>128</v>
      </c>
      <c r="C247" t="s">
        <v>161</v>
      </c>
      <c r="D247">
        <v>4.5606117913741903E-2</v>
      </c>
    </row>
    <row r="248" spans="1:4" x14ac:dyDescent="0.25">
      <c r="A248" s="1" t="s">
        <v>14</v>
      </c>
      <c r="B248" t="s">
        <v>129</v>
      </c>
      <c r="C248" t="s">
        <v>161</v>
      </c>
      <c r="D248">
        <v>5.7057380334926876E-2</v>
      </c>
    </row>
    <row r="249" spans="1:4" x14ac:dyDescent="0.25">
      <c r="A249" s="1" t="s">
        <v>16</v>
      </c>
      <c r="B249" t="s">
        <v>130</v>
      </c>
      <c r="C249" t="s">
        <v>161</v>
      </c>
      <c r="D249">
        <v>4.9338059602106625E-2</v>
      </c>
    </row>
    <row r="250" spans="1:4" x14ac:dyDescent="0.25">
      <c r="A250" s="1" t="s">
        <v>18</v>
      </c>
      <c r="B250" t="s">
        <v>131</v>
      </c>
      <c r="C250" t="s">
        <v>161</v>
      </c>
      <c r="D250">
        <v>6.1389752877785579E-2</v>
      </c>
    </row>
    <row r="251" spans="1:4" x14ac:dyDescent="0.25">
      <c r="A251" s="1" t="s">
        <v>20</v>
      </c>
      <c r="B251" t="s">
        <v>132</v>
      </c>
      <c r="C251" t="s">
        <v>161</v>
      </c>
      <c r="D251">
        <v>5.683648831845637E-2</v>
      </c>
    </row>
    <row r="252" spans="1:4" x14ac:dyDescent="0.25">
      <c r="A252" s="1" t="s">
        <v>22</v>
      </c>
      <c r="B252" t="s">
        <v>133</v>
      </c>
      <c r="C252" t="s">
        <v>161</v>
      </c>
      <c r="D252">
        <v>5.654090503076737E-2</v>
      </c>
    </row>
    <row r="253" spans="1:4" x14ac:dyDescent="0.25">
      <c r="A253" s="1" t="s">
        <v>24</v>
      </c>
      <c r="B253" t="s">
        <v>134</v>
      </c>
      <c r="C253" t="s">
        <v>161</v>
      </c>
      <c r="D253">
        <v>6.0777436143855779E-2</v>
      </c>
    </row>
    <row r="254" spans="1:4" x14ac:dyDescent="0.25">
      <c r="A254" s="1" t="s">
        <v>26</v>
      </c>
      <c r="B254" t="s">
        <v>135</v>
      </c>
      <c r="C254" t="s">
        <v>161</v>
      </c>
      <c r="D254">
        <v>5.4642322109538378E-2</v>
      </c>
    </row>
    <row r="255" spans="1:4" x14ac:dyDescent="0.25">
      <c r="A255" s="1" t="s">
        <v>28</v>
      </c>
      <c r="B255" t="s">
        <v>136</v>
      </c>
      <c r="C255" t="s">
        <v>161</v>
      </c>
      <c r="D255">
        <v>6.1488917754273877E-2</v>
      </c>
    </row>
    <row r="256" spans="1:4" x14ac:dyDescent="0.25">
      <c r="A256" s="1" t="s">
        <v>30</v>
      </c>
      <c r="B256" t="s">
        <v>137</v>
      </c>
      <c r="C256" t="s">
        <v>161</v>
      </c>
      <c r="D256">
        <v>5.9622078089274402E-2</v>
      </c>
    </row>
    <row r="257" spans="1:4" x14ac:dyDescent="0.25">
      <c r="A257" s="1" t="s">
        <v>32</v>
      </c>
      <c r="B257" t="s">
        <v>138</v>
      </c>
      <c r="C257" t="s">
        <v>161</v>
      </c>
      <c r="D257">
        <v>6.2708791032162328E-2</v>
      </c>
    </row>
    <row r="258" spans="1:4" x14ac:dyDescent="0.25">
      <c r="A258" s="1" t="s">
        <v>34</v>
      </c>
      <c r="B258" t="s">
        <v>139</v>
      </c>
      <c r="C258" t="s">
        <v>161</v>
      </c>
      <c r="D258">
        <v>6.1403973114169744E-2</v>
      </c>
    </row>
    <row r="259" spans="1:4" x14ac:dyDescent="0.25">
      <c r="A259" s="1" t="s">
        <v>36</v>
      </c>
      <c r="B259" t="s">
        <v>140</v>
      </c>
      <c r="C259" t="s">
        <v>161</v>
      </c>
      <c r="D259">
        <v>5.6439528623331486E-2</v>
      </c>
    </row>
    <row r="260" spans="1:4" x14ac:dyDescent="0.25">
      <c r="A260" s="1" t="s">
        <v>38</v>
      </c>
      <c r="B260" t="s">
        <v>141</v>
      </c>
      <c r="C260" t="s">
        <v>161</v>
      </c>
      <c r="D260">
        <v>7.1428571428571425E-2</v>
      </c>
    </row>
    <row r="261" spans="1:4" x14ac:dyDescent="0.25">
      <c r="A261" s="1" t="s">
        <v>40</v>
      </c>
      <c r="B261" t="s">
        <v>142</v>
      </c>
      <c r="C261" t="s">
        <v>161</v>
      </c>
      <c r="D261">
        <v>7.5576399016687029E-2</v>
      </c>
    </row>
    <row r="262" spans="1:4" x14ac:dyDescent="0.25">
      <c r="A262" s="1" t="s">
        <v>42</v>
      </c>
      <c r="B262" t="s">
        <v>143</v>
      </c>
      <c r="C262" t="s">
        <v>161</v>
      </c>
      <c r="D262">
        <v>7.1591004681450174E-2</v>
      </c>
    </row>
    <row r="263" spans="1:4" x14ac:dyDescent="0.25">
      <c r="A263" s="1" t="s">
        <v>44</v>
      </c>
      <c r="B263" t="s">
        <v>144</v>
      </c>
      <c r="C263" t="s">
        <v>161</v>
      </c>
      <c r="D263">
        <v>4.144280751154554E-2</v>
      </c>
    </row>
    <row r="264" spans="1:4" x14ac:dyDescent="0.25">
      <c r="A264" s="1" t="s">
        <v>46</v>
      </c>
      <c r="B264" t="s">
        <v>145</v>
      </c>
      <c r="C264" t="s">
        <v>161</v>
      </c>
      <c r="D264">
        <v>8.3266885074347652E-2</v>
      </c>
    </row>
    <row r="265" spans="1:4" x14ac:dyDescent="0.25">
      <c r="A265" s="1" t="s">
        <v>48</v>
      </c>
      <c r="B265" t="s">
        <v>146</v>
      </c>
      <c r="C265" t="s">
        <v>161</v>
      </c>
      <c r="D265">
        <v>4.0535743051246569E-2</v>
      </c>
    </row>
    <row r="266" spans="1:4" x14ac:dyDescent="0.25">
      <c r="A266" s="1" t="s">
        <v>50</v>
      </c>
      <c r="B266" t="s">
        <v>147</v>
      </c>
      <c r="C266" t="s">
        <v>161</v>
      </c>
      <c r="D266">
        <v>7.6651690768639993E-2</v>
      </c>
    </row>
    <row r="267" spans="1:4" x14ac:dyDescent="0.25">
      <c r="A267" s="1" t="s">
        <v>52</v>
      </c>
      <c r="B267" t="s">
        <v>148</v>
      </c>
      <c r="C267" t="s">
        <v>161</v>
      </c>
      <c r="D267">
        <v>7.0754509078915534E-2</v>
      </c>
    </row>
    <row r="268" spans="1:4" x14ac:dyDescent="0.25">
      <c r="A268" s="1" t="s">
        <v>54</v>
      </c>
      <c r="B268" t="s">
        <v>149</v>
      </c>
      <c r="C268" t="s">
        <v>161</v>
      </c>
      <c r="D268">
        <v>4.0279665278108917E-2</v>
      </c>
    </row>
    <row r="269" spans="1:4" x14ac:dyDescent="0.25">
      <c r="A269" s="1" t="s">
        <v>56</v>
      </c>
      <c r="B269" t="s">
        <v>150</v>
      </c>
      <c r="C269" t="s">
        <v>161</v>
      </c>
      <c r="D269">
        <v>7.7595442844324444E-2</v>
      </c>
    </row>
    <row r="270" spans="1:4" x14ac:dyDescent="0.25">
      <c r="A270" s="1" t="s">
        <v>58</v>
      </c>
      <c r="B270" t="s">
        <v>151</v>
      </c>
      <c r="C270" t="s">
        <v>161</v>
      </c>
      <c r="D270">
        <v>5.0450241936579467E-2</v>
      </c>
    </row>
    <row r="271" spans="1:4" x14ac:dyDescent="0.25">
      <c r="A271" s="1" t="s">
        <v>0</v>
      </c>
      <c r="B271" t="s">
        <v>122</v>
      </c>
      <c r="C271" t="s">
        <v>162</v>
      </c>
      <c r="D271">
        <v>7.1142494573022019E-2</v>
      </c>
    </row>
    <row r="272" spans="1:4" x14ac:dyDescent="0.25">
      <c r="A272" s="1" t="s">
        <v>2</v>
      </c>
      <c r="B272" t="s">
        <v>123</v>
      </c>
      <c r="C272" t="s">
        <v>162</v>
      </c>
      <c r="D272">
        <v>5.0628955956771686E-2</v>
      </c>
    </row>
    <row r="273" spans="1:4" x14ac:dyDescent="0.25">
      <c r="A273" s="1" t="s">
        <v>4</v>
      </c>
      <c r="B273" t="s">
        <v>124</v>
      </c>
      <c r="C273" t="s">
        <v>162</v>
      </c>
      <c r="D273">
        <v>5.4077339060211914E-2</v>
      </c>
    </row>
    <row r="274" spans="1:4" x14ac:dyDescent="0.25">
      <c r="A274" s="1" t="s">
        <v>6</v>
      </c>
      <c r="B274" t="s">
        <v>125</v>
      </c>
      <c r="C274" t="s">
        <v>162</v>
      </c>
      <c r="D274">
        <v>4.5469332913567258E-2</v>
      </c>
    </row>
    <row r="275" spans="1:4" x14ac:dyDescent="0.25">
      <c r="A275" s="1" t="s">
        <v>8</v>
      </c>
      <c r="B275" t="s">
        <v>126</v>
      </c>
      <c r="C275" t="s">
        <v>162</v>
      </c>
      <c r="D275">
        <v>5.3437616711529475E-2</v>
      </c>
    </row>
    <row r="276" spans="1:4" x14ac:dyDescent="0.25">
      <c r="A276" s="1" t="s">
        <v>10</v>
      </c>
      <c r="B276" t="s">
        <v>127</v>
      </c>
      <c r="C276" t="s">
        <v>162</v>
      </c>
      <c r="D276">
        <v>5.2548124448416084E-2</v>
      </c>
    </row>
    <row r="277" spans="1:4" x14ac:dyDescent="0.25">
      <c r="A277" s="1" t="s">
        <v>12</v>
      </c>
      <c r="B277" t="s">
        <v>128</v>
      </c>
      <c r="C277" t="s">
        <v>162</v>
      </c>
      <c r="D277">
        <v>4.5618155363715114E-2</v>
      </c>
    </row>
    <row r="278" spans="1:4" x14ac:dyDescent="0.25">
      <c r="A278" s="1" t="s">
        <v>14</v>
      </c>
      <c r="B278" t="s">
        <v>129</v>
      </c>
      <c r="C278" t="s">
        <v>162</v>
      </c>
      <c r="D278">
        <v>5.6733978390530633E-2</v>
      </c>
    </row>
    <row r="279" spans="1:4" x14ac:dyDescent="0.25">
      <c r="A279" s="1" t="s">
        <v>16</v>
      </c>
      <c r="B279" t="s">
        <v>130</v>
      </c>
      <c r="C279" t="s">
        <v>162</v>
      </c>
      <c r="D279">
        <v>4.9335601529045175E-2</v>
      </c>
    </row>
    <row r="280" spans="1:4" x14ac:dyDescent="0.25">
      <c r="A280" s="1" t="s">
        <v>18</v>
      </c>
      <c r="B280" t="s">
        <v>131</v>
      </c>
      <c r="C280" t="s">
        <v>162</v>
      </c>
      <c r="D280">
        <v>6.1478405456313598E-2</v>
      </c>
    </row>
    <row r="281" spans="1:4" x14ac:dyDescent="0.25">
      <c r="A281" s="1" t="s">
        <v>20</v>
      </c>
      <c r="B281" t="s">
        <v>132</v>
      </c>
      <c r="C281" t="s">
        <v>162</v>
      </c>
      <c r="D281">
        <v>5.6533500632670396E-2</v>
      </c>
    </row>
    <row r="282" spans="1:4" x14ac:dyDescent="0.25">
      <c r="A282" s="1" t="s">
        <v>22</v>
      </c>
      <c r="B282" t="s">
        <v>133</v>
      </c>
      <c r="C282" t="s">
        <v>162</v>
      </c>
      <c r="D282">
        <v>5.6610589799250426E-2</v>
      </c>
    </row>
    <row r="283" spans="1:4" x14ac:dyDescent="0.25">
      <c r="A283" s="1" t="s">
        <v>24</v>
      </c>
      <c r="B283" t="s">
        <v>134</v>
      </c>
      <c r="C283" t="s">
        <v>162</v>
      </c>
      <c r="D283">
        <v>6.0404214004005599E-2</v>
      </c>
    </row>
    <row r="284" spans="1:4" x14ac:dyDescent="0.25">
      <c r="A284" s="1" t="s">
        <v>26</v>
      </c>
      <c r="B284" t="s">
        <v>135</v>
      </c>
      <c r="C284" t="s">
        <v>162</v>
      </c>
      <c r="D284">
        <v>5.4780418673575901E-2</v>
      </c>
    </row>
    <row r="285" spans="1:4" x14ac:dyDescent="0.25">
      <c r="A285" s="1" t="s">
        <v>28</v>
      </c>
      <c r="B285" t="s">
        <v>136</v>
      </c>
      <c r="C285" t="s">
        <v>162</v>
      </c>
      <c r="D285">
        <v>6.1990102855991665E-2</v>
      </c>
    </row>
    <row r="286" spans="1:4" x14ac:dyDescent="0.25">
      <c r="A286" s="1" t="s">
        <v>30</v>
      </c>
      <c r="B286" t="s">
        <v>137</v>
      </c>
      <c r="C286" t="s">
        <v>162</v>
      </c>
      <c r="D286">
        <v>5.9833885115071012E-2</v>
      </c>
    </row>
    <row r="287" spans="1:4" x14ac:dyDescent="0.25">
      <c r="A287" s="1" t="s">
        <v>32</v>
      </c>
      <c r="B287" t="s">
        <v>138</v>
      </c>
      <c r="C287" t="s">
        <v>162</v>
      </c>
      <c r="D287">
        <v>6.2996672663369446E-2</v>
      </c>
    </row>
    <row r="288" spans="1:4" x14ac:dyDescent="0.25">
      <c r="A288" s="1" t="s">
        <v>34</v>
      </c>
      <c r="B288" t="s">
        <v>139</v>
      </c>
      <c r="C288" t="s">
        <v>162</v>
      </c>
      <c r="D288">
        <v>6.1682922783628025E-2</v>
      </c>
    </row>
    <row r="289" spans="1:4" x14ac:dyDescent="0.25">
      <c r="A289" s="1" t="s">
        <v>36</v>
      </c>
      <c r="B289" t="s">
        <v>140</v>
      </c>
      <c r="C289" t="s">
        <v>162</v>
      </c>
      <c r="D289">
        <v>5.6369223977774864E-2</v>
      </c>
    </row>
    <row r="290" spans="1:4" x14ac:dyDescent="0.25">
      <c r="A290" s="1" t="s">
        <v>38</v>
      </c>
      <c r="B290" t="s">
        <v>141</v>
      </c>
      <c r="C290" t="s">
        <v>162</v>
      </c>
      <c r="D290">
        <v>6.0552052180275734E-2</v>
      </c>
    </row>
    <row r="291" spans="1:4" x14ac:dyDescent="0.25">
      <c r="A291" s="1" t="s">
        <v>40</v>
      </c>
      <c r="B291" t="s">
        <v>142</v>
      </c>
      <c r="C291" t="s">
        <v>162</v>
      </c>
      <c r="D291">
        <v>8.1487370361353409E-2</v>
      </c>
    </row>
    <row r="292" spans="1:4" x14ac:dyDescent="0.25">
      <c r="A292" s="1" t="s">
        <v>42</v>
      </c>
      <c r="B292" t="s">
        <v>143</v>
      </c>
      <c r="C292" t="s">
        <v>162</v>
      </c>
      <c r="D292">
        <v>5.9326936068759918E-2</v>
      </c>
    </row>
    <row r="293" spans="1:4" x14ac:dyDescent="0.25">
      <c r="A293" s="1" t="s">
        <v>44</v>
      </c>
      <c r="B293" t="s">
        <v>144</v>
      </c>
      <c r="C293" t="s">
        <v>162</v>
      </c>
      <c r="D293">
        <v>4.8106217766545611E-2</v>
      </c>
    </row>
    <row r="294" spans="1:4" x14ac:dyDescent="0.25">
      <c r="A294" s="1" t="s">
        <v>46</v>
      </c>
      <c r="B294" t="s">
        <v>145</v>
      </c>
      <c r="C294" t="s">
        <v>162</v>
      </c>
      <c r="D294">
        <v>8.30687558326796E-2</v>
      </c>
    </row>
    <row r="295" spans="1:4" x14ac:dyDescent="0.25">
      <c r="A295" s="1" t="s">
        <v>48</v>
      </c>
      <c r="B295" t="s">
        <v>146</v>
      </c>
      <c r="C295" t="s">
        <v>162</v>
      </c>
      <c r="D295">
        <v>5.5193461081884568E-2</v>
      </c>
    </row>
    <row r="296" spans="1:4" x14ac:dyDescent="0.25">
      <c r="A296" s="1" t="s">
        <v>50</v>
      </c>
      <c r="B296" t="s">
        <v>147</v>
      </c>
      <c r="C296" t="s">
        <v>162</v>
      </c>
      <c r="D296">
        <v>7.0659145836006576E-2</v>
      </c>
    </row>
    <row r="297" spans="1:4" x14ac:dyDescent="0.25">
      <c r="A297" s="1" t="s">
        <v>52</v>
      </c>
      <c r="B297" t="s">
        <v>148</v>
      </c>
      <c r="C297" t="s">
        <v>162</v>
      </c>
      <c r="D297">
        <v>4.9702293338012862E-2</v>
      </c>
    </row>
    <row r="298" spans="1:4" x14ac:dyDescent="0.25">
      <c r="A298" s="1" t="s">
        <v>54</v>
      </c>
      <c r="B298" t="s">
        <v>149</v>
      </c>
      <c r="C298" t="s">
        <v>162</v>
      </c>
      <c r="D298">
        <v>6.9731835591521033E-2</v>
      </c>
    </row>
    <row r="299" spans="1:4" x14ac:dyDescent="0.25">
      <c r="A299" s="1" t="s">
        <v>56</v>
      </c>
      <c r="B299" t="s">
        <v>150</v>
      </c>
      <c r="C299" t="s">
        <v>162</v>
      </c>
      <c r="D299">
        <v>5.1302197940875087E-2</v>
      </c>
    </row>
    <row r="300" spans="1:4" x14ac:dyDescent="0.25">
      <c r="A300" s="1" t="s">
        <v>58</v>
      </c>
      <c r="B300" t="s">
        <v>151</v>
      </c>
      <c r="C300" t="s">
        <v>162</v>
      </c>
      <c r="D300">
        <v>5.1266338579381163E-2</v>
      </c>
    </row>
    <row r="301" spans="1:4" x14ac:dyDescent="0.25">
      <c r="A301" s="1" t="s">
        <v>0</v>
      </c>
      <c r="B301" t="s">
        <v>122</v>
      </c>
      <c r="C301" t="s">
        <v>163</v>
      </c>
      <c r="D301">
        <v>6.7326548423672181E-2</v>
      </c>
    </row>
    <row r="302" spans="1:4" x14ac:dyDescent="0.25">
      <c r="A302" s="1" t="s">
        <v>2</v>
      </c>
      <c r="B302" t="s">
        <v>123</v>
      </c>
      <c r="C302" t="s">
        <v>163</v>
      </c>
      <c r="D302">
        <v>5.0002380694298056E-2</v>
      </c>
    </row>
    <row r="303" spans="1:4" x14ac:dyDescent="0.25">
      <c r="A303" s="1" t="s">
        <v>4</v>
      </c>
      <c r="B303" t="s">
        <v>124</v>
      </c>
      <c r="C303" t="s">
        <v>163</v>
      </c>
      <c r="D303">
        <v>5.2301375100153341E-2</v>
      </c>
    </row>
    <row r="304" spans="1:4" x14ac:dyDescent="0.25">
      <c r="A304" s="1" t="s">
        <v>6</v>
      </c>
      <c r="B304" t="s">
        <v>125</v>
      </c>
      <c r="C304" t="s">
        <v>163</v>
      </c>
      <c r="D304">
        <v>4.546639320384939E-2</v>
      </c>
    </row>
    <row r="305" spans="1:4" x14ac:dyDescent="0.25">
      <c r="A305" s="1" t="s">
        <v>8</v>
      </c>
      <c r="B305" t="s">
        <v>126</v>
      </c>
      <c r="C305" t="s">
        <v>163</v>
      </c>
      <c r="D305">
        <v>5.4947150617361662E-2</v>
      </c>
    </row>
    <row r="306" spans="1:4" x14ac:dyDescent="0.25">
      <c r="A306" s="1" t="s">
        <v>10</v>
      </c>
      <c r="B306" t="s">
        <v>127</v>
      </c>
      <c r="C306" t="s">
        <v>163</v>
      </c>
      <c r="D306">
        <v>5.1534436059132202E-2</v>
      </c>
    </row>
    <row r="307" spans="1:4" x14ac:dyDescent="0.25">
      <c r="A307" s="1" t="s">
        <v>12</v>
      </c>
      <c r="B307" t="s">
        <v>128</v>
      </c>
      <c r="C307" t="s">
        <v>163</v>
      </c>
      <c r="D307">
        <v>4.548062733589258E-2</v>
      </c>
    </row>
    <row r="308" spans="1:4" x14ac:dyDescent="0.25">
      <c r="A308" s="1" t="s">
        <v>14</v>
      </c>
      <c r="B308" t="s">
        <v>129</v>
      </c>
      <c r="C308" t="s">
        <v>163</v>
      </c>
      <c r="D308">
        <v>5.6919575451913659E-2</v>
      </c>
    </row>
    <row r="309" spans="1:4" x14ac:dyDescent="0.25">
      <c r="A309" s="1" t="s">
        <v>16</v>
      </c>
      <c r="B309" t="s">
        <v>130</v>
      </c>
      <c r="C309" t="s">
        <v>163</v>
      </c>
      <c r="D309">
        <v>4.8093408748104173E-2</v>
      </c>
    </row>
    <row r="310" spans="1:4" x14ac:dyDescent="0.25">
      <c r="A310" s="1" t="s">
        <v>18</v>
      </c>
      <c r="B310" t="s">
        <v>131</v>
      </c>
      <c r="C310" t="s">
        <v>163</v>
      </c>
      <c r="D310">
        <v>6.0609658295067634E-2</v>
      </c>
    </row>
    <row r="311" spans="1:4" x14ac:dyDescent="0.25">
      <c r="A311" s="1" t="s">
        <v>20</v>
      </c>
      <c r="B311" t="s">
        <v>132</v>
      </c>
      <c r="C311" t="s">
        <v>163</v>
      </c>
      <c r="D311">
        <v>5.6768349528936814E-2</v>
      </c>
    </row>
    <row r="312" spans="1:4" x14ac:dyDescent="0.25">
      <c r="A312" s="1" t="s">
        <v>22</v>
      </c>
      <c r="B312" t="s">
        <v>133</v>
      </c>
      <c r="C312" t="s">
        <v>163</v>
      </c>
      <c r="D312">
        <v>5.5128255851124644E-2</v>
      </c>
    </row>
    <row r="313" spans="1:4" x14ac:dyDescent="0.25">
      <c r="A313" s="1" t="s">
        <v>24</v>
      </c>
      <c r="B313" t="s">
        <v>134</v>
      </c>
      <c r="C313" t="s">
        <v>163</v>
      </c>
      <c r="D313">
        <v>6.2065160963200444E-2</v>
      </c>
    </row>
    <row r="314" spans="1:4" x14ac:dyDescent="0.25">
      <c r="A314" s="1" t="s">
        <v>26</v>
      </c>
      <c r="B314" t="s">
        <v>135</v>
      </c>
      <c r="C314" t="s">
        <v>163</v>
      </c>
      <c r="D314">
        <v>5.3148872838734339E-2</v>
      </c>
    </row>
    <row r="315" spans="1:4" x14ac:dyDescent="0.25">
      <c r="A315" s="1" t="s">
        <v>28</v>
      </c>
      <c r="B315" t="s">
        <v>136</v>
      </c>
      <c r="C315" t="s">
        <v>163</v>
      </c>
      <c r="D315">
        <v>6.0904544937881847E-2</v>
      </c>
    </row>
    <row r="316" spans="1:4" x14ac:dyDescent="0.25">
      <c r="A316" s="1" t="s">
        <v>30</v>
      </c>
      <c r="B316" t="s">
        <v>137</v>
      </c>
      <c r="C316" t="s">
        <v>163</v>
      </c>
      <c r="D316">
        <v>5.9333587219919187E-2</v>
      </c>
    </row>
    <row r="317" spans="1:4" x14ac:dyDescent="0.25">
      <c r="A317" s="1" t="s">
        <v>32</v>
      </c>
      <c r="B317" t="s">
        <v>138</v>
      </c>
      <c r="C317" t="s">
        <v>163</v>
      </c>
      <c r="D317">
        <v>6.3206069784045221E-2</v>
      </c>
    </row>
    <row r="318" spans="1:4" x14ac:dyDescent="0.25">
      <c r="A318" s="1" t="s">
        <v>34</v>
      </c>
      <c r="B318" t="s">
        <v>139</v>
      </c>
      <c r="C318" t="s">
        <v>163</v>
      </c>
      <c r="D318">
        <v>5.9464305136330664E-2</v>
      </c>
    </row>
    <row r="319" spans="1:4" x14ac:dyDescent="0.25">
      <c r="A319" s="1" t="s">
        <v>36</v>
      </c>
      <c r="B319" t="s">
        <v>140</v>
      </c>
      <c r="C319" t="s">
        <v>163</v>
      </c>
      <c r="D319">
        <v>5.6241409838986227E-2</v>
      </c>
    </row>
    <row r="320" spans="1:4" x14ac:dyDescent="0.25">
      <c r="A320" s="1" t="s">
        <v>38</v>
      </c>
      <c r="B320" t="s">
        <v>141</v>
      </c>
      <c r="C320" t="s">
        <v>163</v>
      </c>
      <c r="D320">
        <v>7.1428571428571425E-2</v>
      </c>
    </row>
    <row r="321" spans="1:4" x14ac:dyDescent="0.25">
      <c r="A321" s="1" t="s">
        <v>40</v>
      </c>
      <c r="B321" t="s">
        <v>142</v>
      </c>
      <c r="C321" t="s">
        <v>163</v>
      </c>
      <c r="D321">
        <v>7.506875235898941E-2</v>
      </c>
    </row>
    <row r="322" spans="1:4" x14ac:dyDescent="0.25">
      <c r="A322" s="1" t="s">
        <v>42</v>
      </c>
      <c r="B322" t="s">
        <v>143</v>
      </c>
      <c r="C322" t="s">
        <v>163</v>
      </c>
      <c r="D322">
        <v>6.5412787966014962E-2</v>
      </c>
    </row>
    <row r="323" spans="1:4" x14ac:dyDescent="0.25">
      <c r="A323" s="1" t="s">
        <v>44</v>
      </c>
      <c r="B323" t="s">
        <v>144</v>
      </c>
      <c r="C323" t="s">
        <v>163</v>
      </c>
      <c r="D323">
        <v>3.7697959131344549E-2</v>
      </c>
    </row>
    <row r="324" spans="1:4" x14ac:dyDescent="0.25">
      <c r="A324" s="1" t="s">
        <v>46</v>
      </c>
      <c r="B324" t="s">
        <v>145</v>
      </c>
      <c r="C324" t="s">
        <v>163</v>
      </c>
      <c r="D324">
        <v>8.4973808677202792E-2</v>
      </c>
    </row>
    <row r="325" spans="1:4" x14ac:dyDescent="0.25">
      <c r="A325" s="1" t="s">
        <v>48</v>
      </c>
      <c r="B325" t="s">
        <v>146</v>
      </c>
      <c r="C325" t="s">
        <v>163</v>
      </c>
      <c r="D325">
        <v>3.4209293279667818E-2</v>
      </c>
    </row>
    <row r="326" spans="1:4" x14ac:dyDescent="0.25">
      <c r="A326" s="1" t="s">
        <v>50</v>
      </c>
      <c r="B326" t="s">
        <v>147</v>
      </c>
      <c r="C326" t="s">
        <v>163</v>
      </c>
      <c r="D326">
        <v>7.1714253568550129E-2</v>
      </c>
    </row>
    <row r="327" spans="1:4" x14ac:dyDescent="0.25">
      <c r="A327" s="1" t="s">
        <v>52</v>
      </c>
      <c r="B327" t="s">
        <v>148</v>
      </c>
      <c r="C327" t="s">
        <v>163</v>
      </c>
      <c r="D327">
        <v>6.6185121597373484E-2</v>
      </c>
    </row>
    <row r="328" spans="1:4" x14ac:dyDescent="0.25">
      <c r="A328" s="1" t="s">
        <v>54</v>
      </c>
      <c r="B328" t="s">
        <v>149</v>
      </c>
      <c r="C328" t="s">
        <v>163</v>
      </c>
      <c r="D328">
        <v>3.8504975329615124E-2</v>
      </c>
    </row>
    <row r="329" spans="1:4" x14ac:dyDescent="0.25">
      <c r="A329" s="1" t="s">
        <v>56</v>
      </c>
      <c r="B329" t="s">
        <v>150</v>
      </c>
      <c r="C329" t="s">
        <v>163</v>
      </c>
      <c r="D329">
        <v>7.4970557959405715E-2</v>
      </c>
    </row>
    <row r="330" spans="1:4" x14ac:dyDescent="0.25">
      <c r="A330" s="1" t="s">
        <v>58</v>
      </c>
      <c r="B330" t="s">
        <v>151</v>
      </c>
      <c r="C330" t="s">
        <v>163</v>
      </c>
      <c r="D330">
        <v>5.2940229700687041E-2</v>
      </c>
    </row>
    <row r="331" spans="1:4" x14ac:dyDescent="0.25">
      <c r="A331" s="1" t="s">
        <v>0</v>
      </c>
      <c r="B331" t="s">
        <v>122</v>
      </c>
      <c r="C331" t="s">
        <v>164</v>
      </c>
      <c r="D331">
        <v>8.0593500976931465E-2</v>
      </c>
    </row>
    <row r="332" spans="1:4" x14ac:dyDescent="0.25">
      <c r="A332" s="1" t="s">
        <v>2</v>
      </c>
      <c r="B332" t="s">
        <v>123</v>
      </c>
      <c r="C332" t="s">
        <v>164</v>
      </c>
      <c r="D332">
        <v>5.091012813155394E-2</v>
      </c>
    </row>
    <row r="333" spans="1:4" x14ac:dyDescent="0.25">
      <c r="A333" s="1" t="s">
        <v>4</v>
      </c>
      <c r="B333" t="s">
        <v>124</v>
      </c>
      <c r="C333" t="s">
        <v>164</v>
      </c>
      <c r="D333">
        <v>5.8369620179298712E-2</v>
      </c>
    </row>
    <row r="334" spans="1:4" x14ac:dyDescent="0.25">
      <c r="A334" s="1" t="s">
        <v>6</v>
      </c>
      <c r="B334" t="s">
        <v>125</v>
      </c>
      <c r="C334" t="s">
        <v>164</v>
      </c>
      <c r="D334">
        <v>4.5527941735411422E-2</v>
      </c>
    </row>
    <row r="335" spans="1:4" x14ac:dyDescent="0.25">
      <c r="A335" s="1" t="s">
        <v>8</v>
      </c>
      <c r="B335" t="s">
        <v>126</v>
      </c>
      <c r="C335" t="s">
        <v>164</v>
      </c>
      <c r="D335">
        <v>5.3177178315396909E-2</v>
      </c>
    </row>
    <row r="336" spans="1:4" x14ac:dyDescent="0.25">
      <c r="A336" s="1" t="s">
        <v>10</v>
      </c>
      <c r="B336" t="s">
        <v>127</v>
      </c>
      <c r="C336" t="s">
        <v>164</v>
      </c>
      <c r="D336">
        <v>5.2315325810202457E-2</v>
      </c>
    </row>
    <row r="337" spans="1:4" x14ac:dyDescent="0.25">
      <c r="A337" s="1" t="s">
        <v>12</v>
      </c>
      <c r="B337" t="s">
        <v>128</v>
      </c>
      <c r="C337" t="s">
        <v>164</v>
      </c>
      <c r="D337">
        <v>4.5622842289653506E-2</v>
      </c>
    </row>
    <row r="338" spans="1:4" x14ac:dyDescent="0.25">
      <c r="A338" s="1" t="s">
        <v>14</v>
      </c>
      <c r="B338" t="s">
        <v>129</v>
      </c>
      <c r="C338" t="s">
        <v>164</v>
      </c>
      <c r="D338" t="e">
        <v>#DIV/0!</v>
      </c>
    </row>
    <row r="339" spans="1:4" x14ac:dyDescent="0.25">
      <c r="A339" s="1" t="s">
        <v>16</v>
      </c>
      <c r="B339" t="s">
        <v>130</v>
      </c>
      <c r="C339" t="s">
        <v>164</v>
      </c>
      <c r="D339">
        <v>4.9635125661809512E-2</v>
      </c>
    </row>
    <row r="340" spans="1:4" x14ac:dyDescent="0.25">
      <c r="A340" s="1" t="s">
        <v>18</v>
      </c>
      <c r="B340" t="s">
        <v>131</v>
      </c>
      <c r="C340" t="s">
        <v>164</v>
      </c>
      <c r="D340">
        <v>6.2061118701740095E-2</v>
      </c>
    </row>
    <row r="341" spans="1:4" x14ac:dyDescent="0.25">
      <c r="A341" s="1" t="s">
        <v>20</v>
      </c>
      <c r="B341" t="s">
        <v>132</v>
      </c>
      <c r="C341" t="s">
        <v>164</v>
      </c>
      <c r="D341">
        <v>5.5923628872012056E-2</v>
      </c>
    </row>
    <row r="342" spans="1:4" x14ac:dyDescent="0.25">
      <c r="A342" s="1" t="s">
        <v>22</v>
      </c>
      <c r="B342" t="s">
        <v>133</v>
      </c>
      <c r="C342" t="s">
        <v>164</v>
      </c>
      <c r="D342">
        <v>5.6010038804510429E-2</v>
      </c>
    </row>
    <row r="343" spans="1:4" x14ac:dyDescent="0.25">
      <c r="A343" s="1" t="s">
        <v>24</v>
      </c>
      <c r="B343" t="s">
        <v>134</v>
      </c>
      <c r="C343" t="s">
        <v>164</v>
      </c>
      <c r="D343" t="e">
        <v>#DIV/0!</v>
      </c>
    </row>
    <row r="344" spans="1:4" x14ac:dyDescent="0.25">
      <c r="A344" s="1" t="s">
        <v>26</v>
      </c>
      <c r="B344" t="s">
        <v>135</v>
      </c>
      <c r="C344" t="s">
        <v>164</v>
      </c>
      <c r="D344">
        <v>5.4568852296241338E-2</v>
      </c>
    </row>
    <row r="345" spans="1:4" x14ac:dyDescent="0.25">
      <c r="A345" s="1" t="s">
        <v>28</v>
      </c>
      <c r="B345" t="s">
        <v>136</v>
      </c>
      <c r="C345" t="s">
        <v>164</v>
      </c>
      <c r="D345">
        <v>6.0819230146006834E-2</v>
      </c>
    </row>
    <row r="346" spans="1:4" x14ac:dyDescent="0.25">
      <c r="A346" s="1" t="s">
        <v>30</v>
      </c>
      <c r="B346" t="s">
        <v>137</v>
      </c>
      <c r="C346" t="s">
        <v>164</v>
      </c>
      <c r="D346">
        <v>5.8423682872939343E-2</v>
      </c>
    </row>
    <row r="347" spans="1:4" x14ac:dyDescent="0.25">
      <c r="A347" s="1" t="s">
        <v>32</v>
      </c>
      <c r="B347" t="s">
        <v>138</v>
      </c>
      <c r="C347" t="s">
        <v>164</v>
      </c>
      <c r="D347">
        <v>6.1487843095552809E-2</v>
      </c>
    </row>
    <row r="348" spans="1:4" x14ac:dyDescent="0.25">
      <c r="A348" s="1" t="s">
        <v>34</v>
      </c>
      <c r="B348" t="s">
        <v>139</v>
      </c>
      <c r="C348" t="s">
        <v>164</v>
      </c>
      <c r="D348">
        <v>6.1277294432806766E-2</v>
      </c>
    </row>
    <row r="349" spans="1:4" x14ac:dyDescent="0.25">
      <c r="A349" s="1" t="s">
        <v>36</v>
      </c>
      <c r="B349" t="s">
        <v>140</v>
      </c>
      <c r="C349" t="s">
        <v>164</v>
      </c>
      <c r="D349">
        <v>5.5758075743556089E-2</v>
      </c>
    </row>
    <row r="350" spans="1:4" x14ac:dyDescent="0.25">
      <c r="A350" s="1" t="s">
        <v>38</v>
      </c>
      <c r="B350" t="s">
        <v>141</v>
      </c>
      <c r="C350" t="s">
        <v>164</v>
      </c>
      <c r="D350">
        <v>7.1428571428571425E-2</v>
      </c>
    </row>
    <row r="351" spans="1:4" x14ac:dyDescent="0.25">
      <c r="A351" s="1" t="s">
        <v>40</v>
      </c>
      <c r="B351" t="s">
        <v>142</v>
      </c>
      <c r="C351" t="s">
        <v>164</v>
      </c>
      <c r="D351">
        <v>7.7277584866365892E-2</v>
      </c>
    </row>
    <row r="352" spans="1:4" x14ac:dyDescent="0.25">
      <c r="A352" s="1" t="s">
        <v>42</v>
      </c>
      <c r="B352" t="s">
        <v>143</v>
      </c>
      <c r="C352" t="s">
        <v>164</v>
      </c>
      <c r="D352">
        <v>7.5461754340985204E-2</v>
      </c>
    </row>
    <row r="353" spans="1:4" x14ac:dyDescent="0.25">
      <c r="A353" s="1" t="s">
        <v>44</v>
      </c>
      <c r="B353" t="s">
        <v>144</v>
      </c>
      <c r="C353" t="s">
        <v>164</v>
      </c>
      <c r="D353">
        <v>4.4182643728145295E-2</v>
      </c>
    </row>
    <row r="354" spans="1:4" x14ac:dyDescent="0.25">
      <c r="A354" s="1" t="s">
        <v>46</v>
      </c>
      <c r="B354" t="s">
        <v>145</v>
      </c>
      <c r="C354" t="s">
        <v>164</v>
      </c>
      <c r="D354">
        <v>8.8427226381623286E-2</v>
      </c>
    </row>
    <row r="355" spans="1:4" x14ac:dyDescent="0.25">
      <c r="A355" s="1" t="s">
        <v>48</v>
      </c>
      <c r="B355" t="s">
        <v>146</v>
      </c>
      <c r="C355" t="s">
        <v>164</v>
      </c>
      <c r="D355">
        <v>4.2045944337784656E-2</v>
      </c>
    </row>
    <row r="356" spans="1:4" x14ac:dyDescent="0.25">
      <c r="A356" s="1" t="s">
        <v>50</v>
      </c>
      <c r="B356" t="s">
        <v>147</v>
      </c>
      <c r="C356" t="s">
        <v>164</v>
      </c>
      <c r="D356">
        <v>7.7569970445106398E-2</v>
      </c>
    </row>
    <row r="357" spans="1:4" x14ac:dyDescent="0.25">
      <c r="A357" s="1" t="s">
        <v>52</v>
      </c>
      <c r="B357" t="s">
        <v>148</v>
      </c>
      <c r="C357" t="s">
        <v>164</v>
      </c>
      <c r="D357">
        <v>7.2239384585041672E-2</v>
      </c>
    </row>
    <row r="358" spans="1:4" x14ac:dyDescent="0.25">
      <c r="A358" s="1" t="s">
        <v>54</v>
      </c>
      <c r="B358" t="s">
        <v>149</v>
      </c>
      <c r="C358" t="s">
        <v>164</v>
      </c>
      <c r="D358">
        <v>4.0896750288891427E-2</v>
      </c>
    </row>
    <row r="359" spans="1:4" x14ac:dyDescent="0.25">
      <c r="A359" s="1" t="s">
        <v>56</v>
      </c>
      <c r="B359" t="s">
        <v>150</v>
      </c>
      <c r="C359" t="s">
        <v>164</v>
      </c>
      <c r="D359">
        <v>7.9961043561600331E-2</v>
      </c>
    </row>
    <row r="360" spans="1:4" x14ac:dyDescent="0.25">
      <c r="A360" s="1" t="s">
        <v>58</v>
      </c>
      <c r="B360" t="s">
        <v>151</v>
      </c>
      <c r="C360" t="s">
        <v>164</v>
      </c>
      <c r="D360">
        <v>4.6514681317067243E-2</v>
      </c>
    </row>
    <row r="361" spans="1:4" x14ac:dyDescent="0.25">
      <c r="A361" s="1" t="s">
        <v>0</v>
      </c>
      <c r="B361" t="s">
        <v>122</v>
      </c>
      <c r="C361" t="s">
        <v>165</v>
      </c>
      <c r="D361">
        <v>7.0743349134980121E-2</v>
      </c>
    </row>
    <row r="362" spans="1:4" x14ac:dyDescent="0.25">
      <c r="A362" s="1" t="s">
        <v>2</v>
      </c>
      <c r="B362" t="s">
        <v>123</v>
      </c>
      <c r="C362" t="s">
        <v>165</v>
      </c>
      <c r="D362">
        <v>5.1159193853866303E-2</v>
      </c>
    </row>
    <row r="363" spans="1:4" x14ac:dyDescent="0.25">
      <c r="A363" s="1" t="s">
        <v>4</v>
      </c>
      <c r="B363" t="s">
        <v>124</v>
      </c>
      <c r="C363" t="s">
        <v>165</v>
      </c>
      <c r="D363">
        <v>5.2146505088325974E-2</v>
      </c>
    </row>
    <row r="364" spans="1:4" x14ac:dyDescent="0.25">
      <c r="A364" s="1" t="s">
        <v>6</v>
      </c>
      <c r="B364" t="s">
        <v>125</v>
      </c>
      <c r="C364" t="s">
        <v>165</v>
      </c>
      <c r="D364">
        <v>4.5469922374469569E-2</v>
      </c>
    </row>
    <row r="365" spans="1:4" x14ac:dyDescent="0.25">
      <c r="A365" s="1" t="s">
        <v>8</v>
      </c>
      <c r="B365" t="s">
        <v>126</v>
      </c>
      <c r="C365" t="s">
        <v>165</v>
      </c>
      <c r="D365">
        <v>5.3491545481070546E-2</v>
      </c>
    </row>
    <row r="366" spans="1:4" x14ac:dyDescent="0.25">
      <c r="A366" s="1" t="s">
        <v>10</v>
      </c>
      <c r="B366" t="s">
        <v>127</v>
      </c>
      <c r="C366" t="s">
        <v>165</v>
      </c>
      <c r="D366">
        <v>5.2969658229415122E-2</v>
      </c>
    </row>
    <row r="367" spans="1:4" x14ac:dyDescent="0.25">
      <c r="A367" s="1" t="s">
        <v>12</v>
      </c>
      <c r="B367" t="s">
        <v>128</v>
      </c>
      <c r="C367" t="s">
        <v>165</v>
      </c>
      <c r="D367">
        <v>4.5596558464583326E-2</v>
      </c>
    </row>
    <row r="368" spans="1:4" x14ac:dyDescent="0.25">
      <c r="A368" s="1" t="s">
        <v>14</v>
      </c>
      <c r="B368" t="s">
        <v>129</v>
      </c>
      <c r="C368" t="s">
        <v>165</v>
      </c>
      <c r="D368">
        <v>5.6889047837356557E-2</v>
      </c>
    </row>
    <row r="369" spans="1:4" x14ac:dyDescent="0.25">
      <c r="A369" s="1" t="s">
        <v>16</v>
      </c>
      <c r="B369" t="s">
        <v>130</v>
      </c>
      <c r="C369" t="s">
        <v>165</v>
      </c>
      <c r="D369">
        <v>4.9430739664217807E-2</v>
      </c>
    </row>
    <row r="370" spans="1:4" x14ac:dyDescent="0.25">
      <c r="A370" s="1" t="s">
        <v>18</v>
      </c>
      <c r="B370" t="s">
        <v>131</v>
      </c>
      <c r="C370" t="s">
        <v>165</v>
      </c>
      <c r="D370">
        <v>6.1110520338389547E-2</v>
      </c>
    </row>
    <row r="371" spans="1:4" x14ac:dyDescent="0.25">
      <c r="A371" s="1" t="s">
        <v>20</v>
      </c>
      <c r="B371" t="s">
        <v>132</v>
      </c>
      <c r="C371" t="s">
        <v>165</v>
      </c>
      <c r="D371">
        <v>5.6500734352576645E-2</v>
      </c>
    </row>
    <row r="372" spans="1:4" x14ac:dyDescent="0.25">
      <c r="A372" s="1" t="s">
        <v>22</v>
      </c>
      <c r="B372" t="s">
        <v>133</v>
      </c>
      <c r="C372" t="s">
        <v>165</v>
      </c>
      <c r="D372">
        <v>5.6026809293092922E-2</v>
      </c>
    </row>
    <row r="373" spans="1:4" x14ac:dyDescent="0.25">
      <c r="A373" s="1" t="s">
        <v>24</v>
      </c>
      <c r="B373" t="s">
        <v>134</v>
      </c>
      <c r="C373" t="s">
        <v>165</v>
      </c>
      <c r="D373">
        <v>5.9930452598732302E-2</v>
      </c>
    </row>
    <row r="374" spans="1:4" x14ac:dyDescent="0.25">
      <c r="A374" s="1" t="s">
        <v>26</v>
      </c>
      <c r="B374" t="s">
        <v>135</v>
      </c>
      <c r="C374" t="s">
        <v>165</v>
      </c>
      <c r="D374">
        <v>5.4400772316847902E-2</v>
      </c>
    </row>
    <row r="375" spans="1:4" x14ac:dyDescent="0.25">
      <c r="A375" s="1" t="s">
        <v>28</v>
      </c>
      <c r="B375" t="s">
        <v>136</v>
      </c>
      <c r="C375" t="s">
        <v>165</v>
      </c>
      <c r="D375">
        <v>6.0479498652224399E-2</v>
      </c>
    </row>
    <row r="376" spans="1:4" x14ac:dyDescent="0.25">
      <c r="A376" s="1" t="s">
        <v>30</v>
      </c>
      <c r="B376" t="s">
        <v>137</v>
      </c>
      <c r="C376" t="s">
        <v>165</v>
      </c>
      <c r="D376">
        <v>5.8791575142344885E-2</v>
      </c>
    </row>
    <row r="377" spans="1:4" x14ac:dyDescent="0.25">
      <c r="A377" s="1" t="s">
        <v>32</v>
      </c>
      <c r="B377" t="s">
        <v>138</v>
      </c>
      <c r="C377" t="s">
        <v>165</v>
      </c>
      <c r="D377">
        <v>6.2086766758350342E-2</v>
      </c>
    </row>
    <row r="378" spans="1:4" x14ac:dyDescent="0.25">
      <c r="A378" s="1" t="s">
        <v>34</v>
      </c>
      <c r="B378" t="s">
        <v>139</v>
      </c>
      <c r="C378" t="s">
        <v>165</v>
      </c>
      <c r="D378">
        <v>6.0931400048648457E-2</v>
      </c>
    </row>
    <row r="379" spans="1:4" x14ac:dyDescent="0.25">
      <c r="A379" s="1" t="s">
        <v>36</v>
      </c>
      <c r="B379" t="s">
        <v>140</v>
      </c>
      <c r="C379" t="s">
        <v>165</v>
      </c>
      <c r="D379">
        <v>5.5828649849053474E-2</v>
      </c>
    </row>
    <row r="380" spans="1:4" x14ac:dyDescent="0.25">
      <c r="A380" s="1" t="s">
        <v>38</v>
      </c>
      <c r="B380" t="s">
        <v>141</v>
      </c>
      <c r="C380" t="s">
        <v>165</v>
      </c>
      <c r="D380">
        <v>6.0063282817374761E-2</v>
      </c>
    </row>
    <row r="381" spans="1:4" x14ac:dyDescent="0.25">
      <c r="A381" s="1" t="s">
        <v>40</v>
      </c>
      <c r="B381" t="s">
        <v>142</v>
      </c>
      <c r="C381" t="s">
        <v>165</v>
      </c>
      <c r="D381">
        <v>8.1712055193779984E-2</v>
      </c>
    </row>
    <row r="382" spans="1:4" x14ac:dyDescent="0.25">
      <c r="A382" s="1" t="s">
        <v>42</v>
      </c>
      <c r="B382" t="s">
        <v>143</v>
      </c>
      <c r="C382" t="s">
        <v>165</v>
      </c>
      <c r="D382">
        <v>5.9158563496931937E-2</v>
      </c>
    </row>
    <row r="383" spans="1:4" x14ac:dyDescent="0.25">
      <c r="A383" s="1" t="s">
        <v>44</v>
      </c>
      <c r="B383" t="s">
        <v>144</v>
      </c>
      <c r="C383" t="s">
        <v>165</v>
      </c>
      <c r="D383">
        <v>4.7823804323802316E-2</v>
      </c>
    </row>
    <row r="384" spans="1:4" x14ac:dyDescent="0.25">
      <c r="A384" s="1" t="s">
        <v>46</v>
      </c>
      <c r="B384" t="s">
        <v>145</v>
      </c>
      <c r="C384" t="s">
        <v>165</v>
      </c>
      <c r="D384">
        <v>8.3738103084537274E-2</v>
      </c>
    </row>
    <row r="385" spans="1:4" x14ac:dyDescent="0.25">
      <c r="A385" s="1" t="s">
        <v>48</v>
      </c>
      <c r="B385" t="s">
        <v>146</v>
      </c>
      <c r="C385" t="s">
        <v>165</v>
      </c>
      <c r="D385">
        <v>5.6676422515464134E-2</v>
      </c>
    </row>
    <row r="386" spans="1:4" x14ac:dyDescent="0.25">
      <c r="A386" s="1" t="s">
        <v>50</v>
      </c>
      <c r="B386" t="s">
        <v>147</v>
      </c>
      <c r="C386" t="s">
        <v>165</v>
      </c>
      <c r="D386">
        <v>7.1488028984204602E-2</v>
      </c>
    </row>
    <row r="387" spans="1:4" x14ac:dyDescent="0.25">
      <c r="A387" s="1" t="s">
        <v>52</v>
      </c>
      <c r="B387" t="s">
        <v>148</v>
      </c>
      <c r="C387" t="s">
        <v>165</v>
      </c>
      <c r="D387">
        <v>4.9800778333150525E-2</v>
      </c>
    </row>
    <row r="388" spans="1:4" x14ac:dyDescent="0.25">
      <c r="A388" s="1" t="s">
        <v>54</v>
      </c>
      <c r="B388" t="s">
        <v>149</v>
      </c>
      <c r="C388" t="s">
        <v>165</v>
      </c>
      <c r="D388">
        <v>6.5310933145260527E-2</v>
      </c>
    </row>
    <row r="389" spans="1:4" x14ac:dyDescent="0.25">
      <c r="A389" s="1" t="s">
        <v>56</v>
      </c>
      <c r="B389" t="s">
        <v>150</v>
      </c>
      <c r="C389" t="s">
        <v>165</v>
      </c>
      <c r="D389">
        <v>4.5455312096213674E-2</v>
      </c>
    </row>
    <row r="390" spans="1:4" x14ac:dyDescent="0.25">
      <c r="A390" s="1" t="s">
        <v>58</v>
      </c>
      <c r="B390" t="s">
        <v>151</v>
      </c>
      <c r="C390" t="s">
        <v>165</v>
      </c>
      <c r="D390">
        <v>5.1069461812502284E-2</v>
      </c>
    </row>
    <row r="391" spans="1:4" x14ac:dyDescent="0.25">
      <c r="A391" s="1" t="s">
        <v>0</v>
      </c>
      <c r="B391" t="s">
        <v>122</v>
      </c>
      <c r="C391" t="s">
        <v>166</v>
      </c>
      <c r="D391">
        <v>7.2755929147640633E-2</v>
      </c>
    </row>
    <row r="392" spans="1:4" x14ac:dyDescent="0.25">
      <c r="A392" s="1" t="s">
        <v>2</v>
      </c>
      <c r="B392" t="s">
        <v>123</v>
      </c>
      <c r="C392" t="s">
        <v>166</v>
      </c>
      <c r="D392">
        <v>5.4062175329735347E-2</v>
      </c>
    </row>
    <row r="393" spans="1:4" x14ac:dyDescent="0.25">
      <c r="A393" s="1" t="s">
        <v>4</v>
      </c>
      <c r="B393" t="s">
        <v>124</v>
      </c>
      <c r="C393" t="s">
        <v>166</v>
      </c>
      <c r="D393">
        <v>7.0698705684535901E-2</v>
      </c>
    </row>
    <row r="394" spans="1:4" x14ac:dyDescent="0.25">
      <c r="A394" s="1" t="s">
        <v>6</v>
      </c>
      <c r="B394" t="s">
        <v>125</v>
      </c>
      <c r="C394" t="s">
        <v>166</v>
      </c>
      <c r="D394">
        <v>4.7879778185196259E-2</v>
      </c>
    </row>
    <row r="395" spans="1:4" x14ac:dyDescent="0.25">
      <c r="A395" s="1" t="s">
        <v>8</v>
      </c>
      <c r="B395" t="s">
        <v>126</v>
      </c>
      <c r="C395" t="s">
        <v>166</v>
      </c>
      <c r="D395">
        <v>5.6071953207386047E-2</v>
      </c>
    </row>
    <row r="396" spans="1:4" x14ac:dyDescent="0.25">
      <c r="A396" s="1" t="s">
        <v>10</v>
      </c>
      <c r="B396" t="s">
        <v>127</v>
      </c>
      <c r="C396" t="s">
        <v>166</v>
      </c>
      <c r="D396">
        <v>4.9127692594694371E-2</v>
      </c>
    </row>
    <row r="397" spans="1:4" x14ac:dyDescent="0.25">
      <c r="A397" s="1" t="s">
        <v>12</v>
      </c>
      <c r="B397" t="s">
        <v>128</v>
      </c>
      <c r="C397" t="s">
        <v>166</v>
      </c>
      <c r="D397">
        <v>4.8346594198563957E-2</v>
      </c>
    </row>
    <row r="398" spans="1:4" x14ac:dyDescent="0.25">
      <c r="A398" s="1" t="s">
        <v>14</v>
      </c>
      <c r="B398" t="s">
        <v>129</v>
      </c>
      <c r="C398" t="s">
        <v>166</v>
      </c>
      <c r="D398">
        <v>5.5981318854081384E-2</v>
      </c>
    </row>
    <row r="399" spans="1:4" x14ac:dyDescent="0.25">
      <c r="A399" s="1" t="s">
        <v>16</v>
      </c>
      <c r="B399" t="s">
        <v>130</v>
      </c>
      <c r="C399" t="s">
        <v>166</v>
      </c>
      <c r="D399">
        <v>5.0679726298828956E-2</v>
      </c>
    </row>
    <row r="400" spans="1:4" x14ac:dyDescent="0.25">
      <c r="A400" s="1" t="s">
        <v>18</v>
      </c>
      <c r="B400" t="s">
        <v>131</v>
      </c>
      <c r="C400" t="s">
        <v>166</v>
      </c>
      <c r="D400">
        <v>6.1987796473288392E-2</v>
      </c>
    </row>
    <row r="401" spans="1:4" x14ac:dyDescent="0.25">
      <c r="A401" s="1" t="s">
        <v>20</v>
      </c>
      <c r="B401" t="s">
        <v>132</v>
      </c>
      <c r="C401" t="s">
        <v>166</v>
      </c>
      <c r="D401">
        <v>6.0367432294141245E-2</v>
      </c>
    </row>
    <row r="402" spans="1:4" x14ac:dyDescent="0.25">
      <c r="A402" s="1" t="s">
        <v>22</v>
      </c>
      <c r="B402" t="s">
        <v>133</v>
      </c>
      <c r="C402" t="s">
        <v>166</v>
      </c>
      <c r="D402">
        <v>5.5336799397707921E-2</v>
      </c>
    </row>
    <row r="403" spans="1:4" x14ac:dyDescent="0.25">
      <c r="A403" s="1" t="s">
        <v>24</v>
      </c>
      <c r="B403" t="s">
        <v>134</v>
      </c>
      <c r="C403" t="s">
        <v>166</v>
      </c>
      <c r="D403">
        <v>6.1792819787671358E-2</v>
      </c>
    </row>
    <row r="404" spans="1:4" x14ac:dyDescent="0.25">
      <c r="A404" s="1" t="s">
        <v>26</v>
      </c>
      <c r="B404" t="s">
        <v>135</v>
      </c>
      <c r="C404" t="s">
        <v>166</v>
      </c>
      <c r="D404">
        <v>5.8169963797594371E-2</v>
      </c>
    </row>
    <row r="405" spans="1:4" x14ac:dyDescent="0.25">
      <c r="A405" s="1" t="s">
        <v>28</v>
      </c>
      <c r="B405" t="s">
        <v>136</v>
      </c>
      <c r="C405" t="s">
        <v>166</v>
      </c>
      <c r="D405">
        <v>6.0227402986529746E-2</v>
      </c>
    </row>
    <row r="406" spans="1:4" x14ac:dyDescent="0.25">
      <c r="A406" s="1" t="s">
        <v>30</v>
      </c>
      <c r="B406" t="s">
        <v>137</v>
      </c>
      <c r="C406" t="s">
        <v>166</v>
      </c>
      <c r="D406">
        <v>6.0255286885214837E-2</v>
      </c>
    </row>
    <row r="407" spans="1:4" x14ac:dyDescent="0.25">
      <c r="A407" s="1" t="s">
        <v>32</v>
      </c>
      <c r="B407" t="s">
        <v>138</v>
      </c>
      <c r="C407" t="s">
        <v>166</v>
      </c>
      <c r="D407">
        <v>6.3346659078843751E-2</v>
      </c>
    </row>
    <row r="408" spans="1:4" x14ac:dyDescent="0.25">
      <c r="A408" s="1" t="s">
        <v>34</v>
      </c>
      <c r="B408" t="s">
        <v>139</v>
      </c>
      <c r="C408" t="s">
        <v>166</v>
      </c>
      <c r="D408">
        <v>5.8196669210491526E-2</v>
      </c>
    </row>
    <row r="409" spans="1:4" x14ac:dyDescent="0.25">
      <c r="A409" s="1" t="s">
        <v>36</v>
      </c>
      <c r="B409" t="s">
        <v>140</v>
      </c>
      <c r="C409" t="s">
        <v>166</v>
      </c>
      <c r="D409">
        <v>5.7489873243720103E-2</v>
      </c>
    </row>
    <row r="410" spans="1:4" x14ac:dyDescent="0.25">
      <c r="A410" s="1" t="s">
        <v>38</v>
      </c>
      <c r="B410" t="s">
        <v>141</v>
      </c>
      <c r="C410" t="s">
        <v>166</v>
      </c>
      <c r="D410">
        <v>7.1428571428571425E-2</v>
      </c>
    </row>
    <row r="411" spans="1:4" x14ac:dyDescent="0.25">
      <c r="A411" s="1" t="s">
        <v>40</v>
      </c>
      <c r="B411" t="s">
        <v>142</v>
      </c>
      <c r="C411" t="s">
        <v>166</v>
      </c>
      <c r="D411">
        <v>7.2843517292274104E-2</v>
      </c>
    </row>
    <row r="412" spans="1:4" x14ac:dyDescent="0.25">
      <c r="A412" s="1" t="s">
        <v>42</v>
      </c>
      <c r="B412" t="s">
        <v>143</v>
      </c>
      <c r="C412" t="s">
        <v>166</v>
      </c>
      <c r="D412">
        <v>6.5394575604637073E-2</v>
      </c>
    </row>
    <row r="413" spans="1:4" x14ac:dyDescent="0.25">
      <c r="A413" s="1" t="s">
        <v>44</v>
      </c>
      <c r="B413" t="s">
        <v>144</v>
      </c>
      <c r="C413" t="s">
        <v>166</v>
      </c>
      <c r="D413">
        <v>4.3194790033542499E-2</v>
      </c>
    </row>
    <row r="414" spans="1:4" x14ac:dyDescent="0.25">
      <c r="A414" s="1" t="s">
        <v>46</v>
      </c>
      <c r="B414" t="s">
        <v>145</v>
      </c>
      <c r="C414" t="s">
        <v>166</v>
      </c>
      <c r="D414">
        <v>8.3798447428320738E-2</v>
      </c>
    </row>
    <row r="415" spans="1:4" x14ac:dyDescent="0.25">
      <c r="A415" s="1" t="s">
        <v>48</v>
      </c>
      <c r="B415" t="s">
        <v>146</v>
      </c>
      <c r="C415" t="s">
        <v>166</v>
      </c>
      <c r="D415">
        <v>6.1829320794883021E-2</v>
      </c>
    </row>
    <row r="416" spans="1:4" x14ac:dyDescent="0.25">
      <c r="A416" s="1" t="s">
        <v>50</v>
      </c>
      <c r="B416" t="s">
        <v>147</v>
      </c>
      <c r="C416" t="s">
        <v>166</v>
      </c>
      <c r="D416">
        <v>7.8329528629693682E-2</v>
      </c>
    </row>
    <row r="417" spans="1:4" x14ac:dyDescent="0.25">
      <c r="A417" s="1" t="s">
        <v>52</v>
      </c>
      <c r="B417" t="s">
        <v>148</v>
      </c>
      <c r="C417" t="s">
        <v>166</v>
      </c>
      <c r="D417">
        <v>0.10222755769537639</v>
      </c>
    </row>
    <row r="418" spans="1:4" x14ac:dyDescent="0.25">
      <c r="A418" s="1" t="s">
        <v>54</v>
      </c>
      <c r="B418" t="s">
        <v>149</v>
      </c>
      <c r="C418" t="s">
        <v>166</v>
      </c>
      <c r="D418">
        <v>4.9635898026222584E-2</v>
      </c>
    </row>
    <row r="419" spans="1:4" x14ac:dyDescent="0.25">
      <c r="A419" s="1" t="s">
        <v>56</v>
      </c>
      <c r="B419" t="s">
        <v>150</v>
      </c>
      <c r="C419" t="s">
        <v>166</v>
      </c>
      <c r="D419">
        <v>6.3697455825309335E-2</v>
      </c>
    </row>
    <row r="420" spans="1:4" x14ac:dyDescent="0.25">
      <c r="A420" s="1" t="s">
        <v>58</v>
      </c>
      <c r="B420" t="s">
        <v>151</v>
      </c>
      <c r="C420" t="s">
        <v>166</v>
      </c>
      <c r="D420">
        <v>5.9222422114407203E-2</v>
      </c>
    </row>
    <row r="421" spans="1:4" x14ac:dyDescent="0.25">
      <c r="A421" s="1" t="s">
        <v>0</v>
      </c>
      <c r="B421" t="s">
        <v>122</v>
      </c>
      <c r="C421" t="s">
        <v>167</v>
      </c>
      <c r="D421">
        <v>7.0001835402157681E-2</v>
      </c>
    </row>
    <row r="422" spans="1:4" x14ac:dyDescent="0.25">
      <c r="A422" s="1" t="s">
        <v>2</v>
      </c>
      <c r="B422" t="s">
        <v>123</v>
      </c>
      <c r="C422" t="s">
        <v>167</v>
      </c>
      <c r="D422">
        <v>6.9238312713641115E-2</v>
      </c>
    </row>
    <row r="423" spans="1:4" x14ac:dyDescent="0.25">
      <c r="A423" s="1" t="s">
        <v>4</v>
      </c>
      <c r="B423" t="s">
        <v>124</v>
      </c>
      <c r="C423" t="s">
        <v>167</v>
      </c>
      <c r="D423">
        <v>6.7313175399039679E-2</v>
      </c>
    </row>
    <row r="424" spans="1:4" x14ac:dyDescent="0.25">
      <c r="A424" s="1" t="s">
        <v>6</v>
      </c>
      <c r="B424" t="s">
        <v>125</v>
      </c>
      <c r="C424" t="s">
        <v>167</v>
      </c>
      <c r="D424">
        <v>5.9267234205264453E-2</v>
      </c>
    </row>
    <row r="425" spans="1:4" x14ac:dyDescent="0.25">
      <c r="A425" s="1" t="s">
        <v>8</v>
      </c>
      <c r="B425" t="s">
        <v>126</v>
      </c>
      <c r="C425" t="s">
        <v>167</v>
      </c>
      <c r="D425">
        <v>6.0266462617673024E-2</v>
      </c>
    </row>
    <row r="426" spans="1:4" x14ac:dyDescent="0.25">
      <c r="A426" s="1" t="s">
        <v>10</v>
      </c>
      <c r="B426" t="s">
        <v>127</v>
      </c>
      <c r="C426" t="s">
        <v>167</v>
      </c>
      <c r="D426">
        <v>5.4435342256652704E-2</v>
      </c>
    </row>
    <row r="427" spans="1:4" x14ac:dyDescent="0.25">
      <c r="A427" s="1" t="s">
        <v>12</v>
      </c>
      <c r="B427" t="s">
        <v>128</v>
      </c>
      <c r="C427" t="s">
        <v>167</v>
      </c>
      <c r="D427">
        <v>6.3330215121186723E-2</v>
      </c>
    </row>
    <row r="428" spans="1:4" x14ac:dyDescent="0.25">
      <c r="A428" s="1" t="s">
        <v>14</v>
      </c>
      <c r="B428" t="s">
        <v>129</v>
      </c>
      <c r="C428" t="s">
        <v>167</v>
      </c>
      <c r="D428">
        <v>6.2887366616001958E-2</v>
      </c>
    </row>
    <row r="429" spans="1:4" x14ac:dyDescent="0.25">
      <c r="A429" s="1" t="s">
        <v>16</v>
      </c>
      <c r="B429" t="s">
        <v>130</v>
      </c>
      <c r="C429" t="s">
        <v>167</v>
      </c>
      <c r="D429">
        <v>6.4956100601236771E-2</v>
      </c>
    </row>
    <row r="430" spans="1:4" x14ac:dyDescent="0.25">
      <c r="A430" s="1" t="s">
        <v>18</v>
      </c>
      <c r="B430" t="s">
        <v>131</v>
      </c>
      <c r="C430" t="s">
        <v>167</v>
      </c>
      <c r="D430">
        <v>6.8104203415219916E-2</v>
      </c>
    </row>
    <row r="431" spans="1:4" x14ac:dyDescent="0.25">
      <c r="A431" s="1" t="s">
        <v>20</v>
      </c>
      <c r="B431" t="s">
        <v>132</v>
      </c>
      <c r="C431" t="s">
        <v>167</v>
      </c>
      <c r="D431">
        <v>6.314322903582377E-2</v>
      </c>
    </row>
    <row r="432" spans="1:4" x14ac:dyDescent="0.25">
      <c r="A432" s="1" t="s">
        <v>22</v>
      </c>
      <c r="B432" t="s">
        <v>133</v>
      </c>
      <c r="C432" t="s">
        <v>167</v>
      </c>
      <c r="D432">
        <v>6.0244607483789063E-2</v>
      </c>
    </row>
    <row r="433" spans="1:4" x14ac:dyDescent="0.25">
      <c r="A433" s="1" t="s">
        <v>24</v>
      </c>
      <c r="B433" t="s">
        <v>134</v>
      </c>
      <c r="C433" t="s">
        <v>167</v>
      </c>
      <c r="D433">
        <v>6.5070529531974466E-2</v>
      </c>
    </row>
    <row r="434" spans="1:4" x14ac:dyDescent="0.25">
      <c r="A434" s="1" t="s">
        <v>26</v>
      </c>
      <c r="B434" t="s">
        <v>135</v>
      </c>
      <c r="C434" t="s">
        <v>167</v>
      </c>
      <c r="D434">
        <v>6.4958476919826938E-2</v>
      </c>
    </row>
    <row r="435" spans="1:4" x14ac:dyDescent="0.25">
      <c r="A435" s="1" t="s">
        <v>28</v>
      </c>
      <c r="B435" t="s">
        <v>136</v>
      </c>
      <c r="C435" t="s">
        <v>167</v>
      </c>
      <c r="D435">
        <v>6.9569789819075759E-2</v>
      </c>
    </row>
    <row r="436" spans="1:4" x14ac:dyDescent="0.25">
      <c r="A436" s="1" t="s">
        <v>30</v>
      </c>
      <c r="B436" t="s">
        <v>137</v>
      </c>
      <c r="C436" t="s">
        <v>167</v>
      </c>
      <c r="D436">
        <v>6.6258126705098605E-2</v>
      </c>
    </row>
    <row r="437" spans="1:4" x14ac:dyDescent="0.25">
      <c r="A437" s="1" t="s">
        <v>32</v>
      </c>
      <c r="B437" t="s">
        <v>138</v>
      </c>
      <c r="C437" t="s">
        <v>167</v>
      </c>
      <c r="D437">
        <v>6.2180984066249889E-2</v>
      </c>
    </row>
    <row r="438" spans="1:4" x14ac:dyDescent="0.25">
      <c r="A438" s="1" t="s">
        <v>34</v>
      </c>
      <c r="B438" t="s">
        <v>139</v>
      </c>
      <c r="C438" t="s">
        <v>167</v>
      </c>
      <c r="D438">
        <v>6.2498088979038587E-2</v>
      </c>
    </row>
    <row r="439" spans="1:4" x14ac:dyDescent="0.25">
      <c r="A439" s="1" t="s">
        <v>36</v>
      </c>
      <c r="B439" t="s">
        <v>140</v>
      </c>
      <c r="C439" t="s">
        <v>167</v>
      </c>
      <c r="D439">
        <v>6.0195615191732034E-2</v>
      </c>
    </row>
    <row r="440" spans="1:4" x14ac:dyDescent="0.25">
      <c r="A440" s="1" t="s">
        <v>38</v>
      </c>
      <c r="B440" t="s">
        <v>141</v>
      </c>
      <c r="C440" t="s">
        <v>167</v>
      </c>
      <c r="D440">
        <v>5.9583256815886887E-2</v>
      </c>
    </row>
    <row r="441" spans="1:4" x14ac:dyDescent="0.25">
      <c r="A441" s="1" t="s">
        <v>40</v>
      </c>
      <c r="B441" t="s">
        <v>142</v>
      </c>
      <c r="C441" t="s">
        <v>167</v>
      </c>
      <c r="D441">
        <v>9.3804413501474448E-2</v>
      </c>
    </row>
    <row r="442" spans="1:4" x14ac:dyDescent="0.25">
      <c r="A442" s="1" t="s">
        <v>42</v>
      </c>
      <c r="B442" t="s">
        <v>143</v>
      </c>
      <c r="C442" t="s">
        <v>167</v>
      </c>
      <c r="D442">
        <v>7.7292469214737078E-2</v>
      </c>
    </row>
    <row r="443" spans="1:4" x14ac:dyDescent="0.25">
      <c r="A443" s="1" t="s">
        <v>44</v>
      </c>
      <c r="B443" t="s">
        <v>144</v>
      </c>
      <c r="C443" t="s">
        <v>167</v>
      </c>
      <c r="D443">
        <v>5.367255865900198E-2</v>
      </c>
    </row>
    <row r="444" spans="1:4" x14ac:dyDescent="0.25">
      <c r="A444" s="1" t="s">
        <v>46</v>
      </c>
      <c r="B444" t="s">
        <v>145</v>
      </c>
      <c r="C444" t="s">
        <v>167</v>
      </c>
      <c r="D444">
        <v>0.11065701956640302</v>
      </c>
    </row>
    <row r="445" spans="1:4" x14ac:dyDescent="0.25">
      <c r="A445" s="1" t="s">
        <v>48</v>
      </c>
      <c r="B445" t="s">
        <v>146</v>
      </c>
      <c r="C445" t="s">
        <v>167</v>
      </c>
      <c r="D445">
        <v>9.5051438348377842E-2</v>
      </c>
    </row>
    <row r="446" spans="1:4" x14ac:dyDescent="0.25">
      <c r="A446" s="1" t="s">
        <v>50</v>
      </c>
      <c r="B446" t="s">
        <v>147</v>
      </c>
      <c r="C446" t="s">
        <v>167</v>
      </c>
      <c r="D446">
        <v>9.6053645924202166E-2</v>
      </c>
    </row>
    <row r="447" spans="1:4" x14ac:dyDescent="0.25">
      <c r="A447" s="1" t="s">
        <v>52</v>
      </c>
      <c r="B447" t="s">
        <v>148</v>
      </c>
      <c r="C447" t="s">
        <v>167</v>
      </c>
      <c r="D447">
        <v>6.7155833218778382E-2</v>
      </c>
    </row>
    <row r="448" spans="1:4" x14ac:dyDescent="0.25">
      <c r="A448" s="1" t="s">
        <v>54</v>
      </c>
      <c r="B448" t="s">
        <v>149</v>
      </c>
      <c r="C448" t="s">
        <v>167</v>
      </c>
      <c r="D448">
        <v>8.8795376113161337E-2</v>
      </c>
    </row>
    <row r="449" spans="1:4" x14ac:dyDescent="0.25">
      <c r="A449" s="1" t="s">
        <v>56</v>
      </c>
      <c r="B449" t="s">
        <v>150</v>
      </c>
      <c r="C449" t="s">
        <v>167</v>
      </c>
      <c r="D449">
        <v>6.270840190303599E-2</v>
      </c>
    </row>
    <row r="450" spans="1:4" x14ac:dyDescent="0.25">
      <c r="A450" s="1" t="s">
        <v>58</v>
      </c>
      <c r="B450" t="s">
        <v>151</v>
      </c>
      <c r="C450" t="s">
        <v>167</v>
      </c>
      <c r="D450">
        <v>5.8679982991720385E-2</v>
      </c>
    </row>
    <row r="451" spans="1:4" x14ac:dyDescent="0.25">
      <c r="A451" s="1" t="s">
        <v>0</v>
      </c>
      <c r="B451" t="s">
        <v>122</v>
      </c>
      <c r="C451" t="s">
        <v>168</v>
      </c>
      <c r="D451">
        <v>6.7090361923556954E-2</v>
      </c>
    </row>
    <row r="452" spans="1:4" x14ac:dyDescent="0.25">
      <c r="A452" s="1" t="s">
        <v>2</v>
      </c>
      <c r="B452" t="s">
        <v>123</v>
      </c>
      <c r="C452" t="s">
        <v>168</v>
      </c>
      <c r="D452">
        <v>5.2445378104730801E-2</v>
      </c>
    </row>
    <row r="453" spans="1:4" x14ac:dyDescent="0.25">
      <c r="A453" s="1" t="s">
        <v>4</v>
      </c>
      <c r="B453" t="s">
        <v>124</v>
      </c>
      <c r="C453" t="s">
        <v>168</v>
      </c>
      <c r="D453">
        <v>4.9447983494555613E-2</v>
      </c>
    </row>
    <row r="454" spans="1:4" x14ac:dyDescent="0.25">
      <c r="A454" s="1" t="s">
        <v>6</v>
      </c>
      <c r="B454" t="s">
        <v>125</v>
      </c>
      <c r="C454" t="s">
        <v>168</v>
      </c>
      <c r="D454">
        <v>4.9267998199040312E-2</v>
      </c>
    </row>
    <row r="455" spans="1:4" x14ac:dyDescent="0.25">
      <c r="A455" s="1" t="s">
        <v>8</v>
      </c>
      <c r="B455" t="s">
        <v>126</v>
      </c>
      <c r="C455" t="s">
        <v>168</v>
      </c>
      <c r="D455">
        <v>5.8137151404362861E-2</v>
      </c>
    </row>
    <row r="456" spans="1:4" x14ac:dyDescent="0.25">
      <c r="A456" s="1" t="s">
        <v>10</v>
      </c>
      <c r="B456" t="s">
        <v>127</v>
      </c>
      <c r="C456" t="s">
        <v>168</v>
      </c>
      <c r="D456">
        <v>5.1976884914927392E-2</v>
      </c>
    </row>
    <row r="457" spans="1:4" x14ac:dyDescent="0.25">
      <c r="A457" s="1" t="s">
        <v>12</v>
      </c>
      <c r="B457" t="s">
        <v>128</v>
      </c>
      <c r="C457" t="s">
        <v>168</v>
      </c>
      <c r="D457">
        <v>4.9224725447642989E-2</v>
      </c>
    </row>
    <row r="458" spans="1:4" x14ac:dyDescent="0.25">
      <c r="A458" s="1" t="s">
        <v>14</v>
      </c>
      <c r="B458" t="s">
        <v>129</v>
      </c>
      <c r="C458" t="s">
        <v>168</v>
      </c>
      <c r="D458">
        <v>5.518311442110066E-2</v>
      </c>
    </row>
    <row r="459" spans="1:4" x14ac:dyDescent="0.25">
      <c r="A459" s="1" t="s">
        <v>16</v>
      </c>
      <c r="B459" t="s">
        <v>130</v>
      </c>
      <c r="C459" t="s">
        <v>168</v>
      </c>
      <c r="D459">
        <v>5.0111404919168198E-2</v>
      </c>
    </row>
    <row r="460" spans="1:4" x14ac:dyDescent="0.25">
      <c r="A460" s="1" t="s">
        <v>18</v>
      </c>
      <c r="B460" t="s">
        <v>131</v>
      </c>
      <c r="C460" t="s">
        <v>168</v>
      </c>
      <c r="D460">
        <v>6.1660232034921804E-2</v>
      </c>
    </row>
    <row r="461" spans="1:4" x14ac:dyDescent="0.25">
      <c r="A461" s="1" t="s">
        <v>20</v>
      </c>
      <c r="B461" t="s">
        <v>132</v>
      </c>
      <c r="C461" t="s">
        <v>168</v>
      </c>
      <c r="D461">
        <v>5.6656434853254112E-2</v>
      </c>
    </row>
    <row r="462" spans="1:4" x14ac:dyDescent="0.25">
      <c r="A462" s="1" t="s">
        <v>22</v>
      </c>
      <c r="B462" t="s">
        <v>133</v>
      </c>
      <c r="C462" t="s">
        <v>168</v>
      </c>
      <c r="D462">
        <v>5.4135413263290445E-2</v>
      </c>
    </row>
    <row r="463" spans="1:4" x14ac:dyDescent="0.25">
      <c r="A463" s="1" t="s">
        <v>24</v>
      </c>
      <c r="B463" t="s">
        <v>134</v>
      </c>
      <c r="C463" t="s">
        <v>168</v>
      </c>
      <c r="D463">
        <v>6.0097132121407527E-2</v>
      </c>
    </row>
    <row r="464" spans="1:4" x14ac:dyDescent="0.25">
      <c r="A464" s="1" t="s">
        <v>26</v>
      </c>
      <c r="B464" t="s">
        <v>135</v>
      </c>
      <c r="C464" t="s">
        <v>168</v>
      </c>
      <c r="D464">
        <v>5.4620515177955249E-2</v>
      </c>
    </row>
    <row r="465" spans="1:4" x14ac:dyDescent="0.25">
      <c r="A465" s="1" t="s">
        <v>28</v>
      </c>
      <c r="B465" t="s">
        <v>136</v>
      </c>
      <c r="C465" t="s">
        <v>168</v>
      </c>
      <c r="D465">
        <v>5.8136386440403885E-2</v>
      </c>
    </row>
    <row r="466" spans="1:4" x14ac:dyDescent="0.25">
      <c r="A466" s="1" t="s">
        <v>30</v>
      </c>
      <c r="B466" t="s">
        <v>137</v>
      </c>
      <c r="C466" t="s">
        <v>168</v>
      </c>
      <c r="D466">
        <v>5.8778332322576829E-2</v>
      </c>
    </row>
    <row r="467" spans="1:4" x14ac:dyDescent="0.25">
      <c r="A467" s="1" t="s">
        <v>32</v>
      </c>
      <c r="B467" t="s">
        <v>138</v>
      </c>
      <c r="C467" t="s">
        <v>168</v>
      </c>
      <c r="D467">
        <v>6.0746243255041438E-2</v>
      </c>
    </row>
    <row r="468" spans="1:4" x14ac:dyDescent="0.25">
      <c r="A468" s="1" t="s">
        <v>34</v>
      </c>
      <c r="B468" t="s">
        <v>139</v>
      </c>
      <c r="C468" t="s">
        <v>168</v>
      </c>
      <c r="D468">
        <v>5.9333507332770596E-2</v>
      </c>
    </row>
    <row r="469" spans="1:4" x14ac:dyDescent="0.25">
      <c r="A469" s="1" t="s">
        <v>36</v>
      </c>
      <c r="B469" t="s">
        <v>140</v>
      </c>
      <c r="C469" t="s">
        <v>168</v>
      </c>
      <c r="D469">
        <v>5.5632950633190043E-2</v>
      </c>
    </row>
    <row r="470" spans="1:4" x14ac:dyDescent="0.25">
      <c r="A470" s="1" t="s">
        <v>38</v>
      </c>
      <c r="B470" t="s">
        <v>141</v>
      </c>
      <c r="C470" t="s">
        <v>168</v>
      </c>
      <c r="D470">
        <v>7.1428571428571425E-2</v>
      </c>
    </row>
    <row r="471" spans="1:4" x14ac:dyDescent="0.25">
      <c r="A471" s="1" t="s">
        <v>40</v>
      </c>
      <c r="B471" t="s">
        <v>142</v>
      </c>
      <c r="C471" t="s">
        <v>168</v>
      </c>
      <c r="D471">
        <v>7.5452515700393866E-2</v>
      </c>
    </row>
    <row r="472" spans="1:4" x14ac:dyDescent="0.25">
      <c r="A472" s="1" t="s">
        <v>42</v>
      </c>
      <c r="B472" t="s">
        <v>143</v>
      </c>
      <c r="C472" t="s">
        <v>168</v>
      </c>
      <c r="D472">
        <v>6.5410696747469604E-2</v>
      </c>
    </row>
    <row r="473" spans="1:4" x14ac:dyDescent="0.25">
      <c r="A473" s="1" t="s">
        <v>44</v>
      </c>
      <c r="B473" t="s">
        <v>144</v>
      </c>
      <c r="C473" t="s">
        <v>168</v>
      </c>
      <c r="D473">
        <v>3.602112915662975E-2</v>
      </c>
    </row>
    <row r="474" spans="1:4" x14ac:dyDescent="0.25">
      <c r="A474" s="1" t="s">
        <v>46</v>
      </c>
      <c r="B474" t="s">
        <v>145</v>
      </c>
      <c r="C474" t="s">
        <v>168</v>
      </c>
      <c r="D474">
        <v>7.9525419937033021E-2</v>
      </c>
    </row>
    <row r="475" spans="1:4" x14ac:dyDescent="0.25">
      <c r="A475" s="1" t="s">
        <v>48</v>
      </c>
      <c r="B475" t="s">
        <v>146</v>
      </c>
      <c r="C475" t="s">
        <v>168</v>
      </c>
      <c r="D475">
        <v>4.0604752103998186E-2</v>
      </c>
    </row>
    <row r="476" spans="1:4" x14ac:dyDescent="0.25">
      <c r="A476" s="1" t="s">
        <v>50</v>
      </c>
      <c r="B476" t="s">
        <v>147</v>
      </c>
      <c r="C476" t="s">
        <v>168</v>
      </c>
      <c r="D476">
        <v>7.2004669253708797E-2</v>
      </c>
    </row>
    <row r="477" spans="1:4" x14ac:dyDescent="0.25">
      <c r="A477" s="1" t="s">
        <v>52</v>
      </c>
      <c r="B477" t="s">
        <v>148</v>
      </c>
      <c r="C477" t="s">
        <v>168</v>
      </c>
      <c r="D477">
        <v>7.2006608217486487E-2</v>
      </c>
    </row>
    <row r="478" spans="1:4" x14ac:dyDescent="0.25">
      <c r="A478" s="1" t="s">
        <v>54</v>
      </c>
      <c r="B478" t="s">
        <v>149</v>
      </c>
      <c r="C478" t="s">
        <v>168</v>
      </c>
      <c r="D478">
        <v>4.8065026267802305E-2</v>
      </c>
    </row>
    <row r="479" spans="1:4" x14ac:dyDescent="0.25">
      <c r="A479" s="1" t="s">
        <v>56</v>
      </c>
      <c r="B479" t="s">
        <v>150</v>
      </c>
      <c r="C479" t="s">
        <v>168</v>
      </c>
      <c r="D479">
        <v>6.4041676359525929E-2</v>
      </c>
    </row>
    <row r="480" spans="1:4" x14ac:dyDescent="0.25">
      <c r="A480" s="1" t="s">
        <v>58</v>
      </c>
      <c r="B480" t="s">
        <v>151</v>
      </c>
      <c r="C480" t="s">
        <v>168</v>
      </c>
      <c r="D480">
        <v>5.1445717564284232E-2</v>
      </c>
    </row>
    <row r="481" spans="1:4" x14ac:dyDescent="0.25">
      <c r="A481" s="1" t="s">
        <v>0</v>
      </c>
      <c r="B481" t="s">
        <v>122</v>
      </c>
      <c r="C481" t="s">
        <v>169</v>
      </c>
      <c r="D481">
        <v>6.7090361923556954E-2</v>
      </c>
    </row>
    <row r="482" spans="1:4" x14ac:dyDescent="0.25">
      <c r="A482" s="1" t="s">
        <v>2</v>
      </c>
      <c r="B482" t="s">
        <v>123</v>
      </c>
      <c r="C482" t="s">
        <v>169</v>
      </c>
      <c r="D482">
        <v>5.2445378104730801E-2</v>
      </c>
    </row>
    <row r="483" spans="1:4" x14ac:dyDescent="0.25">
      <c r="A483" s="1" t="s">
        <v>4</v>
      </c>
      <c r="B483" t="s">
        <v>124</v>
      </c>
      <c r="C483" t="s">
        <v>169</v>
      </c>
      <c r="D483">
        <v>4.9447983494555613E-2</v>
      </c>
    </row>
    <row r="484" spans="1:4" x14ac:dyDescent="0.25">
      <c r="A484" s="1" t="s">
        <v>6</v>
      </c>
      <c r="B484" t="s">
        <v>125</v>
      </c>
      <c r="C484" t="s">
        <v>169</v>
      </c>
      <c r="D484">
        <v>4.9267998199040312E-2</v>
      </c>
    </row>
    <row r="485" spans="1:4" x14ac:dyDescent="0.25">
      <c r="A485" s="1" t="s">
        <v>8</v>
      </c>
      <c r="B485" t="s">
        <v>126</v>
      </c>
      <c r="C485" t="s">
        <v>169</v>
      </c>
      <c r="D485">
        <v>5.8137151404362861E-2</v>
      </c>
    </row>
    <row r="486" spans="1:4" x14ac:dyDescent="0.25">
      <c r="A486" s="1" t="s">
        <v>10</v>
      </c>
      <c r="B486" t="s">
        <v>127</v>
      </c>
      <c r="C486" t="s">
        <v>169</v>
      </c>
      <c r="D486">
        <v>5.1976884914927392E-2</v>
      </c>
    </row>
    <row r="487" spans="1:4" x14ac:dyDescent="0.25">
      <c r="A487" s="1" t="s">
        <v>12</v>
      </c>
      <c r="B487" t="s">
        <v>128</v>
      </c>
      <c r="C487" t="s">
        <v>169</v>
      </c>
      <c r="D487">
        <v>4.9224725447642989E-2</v>
      </c>
    </row>
    <row r="488" spans="1:4" x14ac:dyDescent="0.25">
      <c r="A488" s="1" t="s">
        <v>14</v>
      </c>
      <c r="B488" t="s">
        <v>129</v>
      </c>
      <c r="C488" t="s">
        <v>169</v>
      </c>
      <c r="D488">
        <v>5.518311442110066E-2</v>
      </c>
    </row>
    <row r="489" spans="1:4" x14ac:dyDescent="0.25">
      <c r="A489" s="1" t="s">
        <v>16</v>
      </c>
      <c r="B489" t="s">
        <v>130</v>
      </c>
      <c r="C489" t="s">
        <v>169</v>
      </c>
      <c r="D489">
        <v>5.0111404919168198E-2</v>
      </c>
    </row>
    <row r="490" spans="1:4" x14ac:dyDescent="0.25">
      <c r="A490" s="1" t="s">
        <v>18</v>
      </c>
      <c r="B490" t="s">
        <v>131</v>
      </c>
      <c r="C490" t="s">
        <v>169</v>
      </c>
      <c r="D490">
        <v>6.1660232034921804E-2</v>
      </c>
    </row>
    <row r="491" spans="1:4" x14ac:dyDescent="0.25">
      <c r="A491" s="1" t="s">
        <v>20</v>
      </c>
      <c r="B491" t="s">
        <v>132</v>
      </c>
      <c r="C491" t="s">
        <v>169</v>
      </c>
      <c r="D491">
        <v>5.6656434853254112E-2</v>
      </c>
    </row>
    <row r="492" spans="1:4" x14ac:dyDescent="0.25">
      <c r="A492" s="1" t="s">
        <v>22</v>
      </c>
      <c r="B492" t="s">
        <v>133</v>
      </c>
      <c r="C492" t="s">
        <v>169</v>
      </c>
      <c r="D492">
        <v>5.4135413263290445E-2</v>
      </c>
    </row>
    <row r="493" spans="1:4" x14ac:dyDescent="0.25">
      <c r="A493" s="1" t="s">
        <v>24</v>
      </c>
      <c r="B493" t="s">
        <v>134</v>
      </c>
      <c r="C493" t="s">
        <v>169</v>
      </c>
      <c r="D493">
        <v>6.0097132121407527E-2</v>
      </c>
    </row>
    <row r="494" spans="1:4" x14ac:dyDescent="0.25">
      <c r="A494" s="1" t="s">
        <v>26</v>
      </c>
      <c r="B494" t="s">
        <v>135</v>
      </c>
      <c r="C494" t="s">
        <v>169</v>
      </c>
      <c r="D494">
        <v>5.4620515177955249E-2</v>
      </c>
    </row>
    <row r="495" spans="1:4" x14ac:dyDescent="0.25">
      <c r="A495" s="1" t="s">
        <v>28</v>
      </c>
      <c r="B495" t="s">
        <v>136</v>
      </c>
      <c r="C495" t="s">
        <v>169</v>
      </c>
      <c r="D495">
        <v>5.8136386440403885E-2</v>
      </c>
    </row>
    <row r="496" spans="1:4" x14ac:dyDescent="0.25">
      <c r="A496" s="1" t="s">
        <v>30</v>
      </c>
      <c r="B496" t="s">
        <v>137</v>
      </c>
      <c r="C496" t="s">
        <v>169</v>
      </c>
      <c r="D496">
        <v>5.8778332322576829E-2</v>
      </c>
    </row>
    <row r="497" spans="1:4" x14ac:dyDescent="0.25">
      <c r="A497" s="1" t="s">
        <v>32</v>
      </c>
      <c r="B497" t="s">
        <v>138</v>
      </c>
      <c r="C497" t="s">
        <v>169</v>
      </c>
      <c r="D497">
        <v>6.0746243255041438E-2</v>
      </c>
    </row>
    <row r="498" spans="1:4" x14ac:dyDescent="0.25">
      <c r="A498" s="1" t="s">
        <v>34</v>
      </c>
      <c r="B498" t="s">
        <v>139</v>
      </c>
      <c r="C498" t="s">
        <v>169</v>
      </c>
      <c r="D498">
        <v>5.9333507332770596E-2</v>
      </c>
    </row>
    <row r="499" spans="1:4" x14ac:dyDescent="0.25">
      <c r="A499" s="1" t="s">
        <v>36</v>
      </c>
      <c r="B499" t="s">
        <v>140</v>
      </c>
      <c r="C499" t="s">
        <v>169</v>
      </c>
      <c r="D499">
        <v>5.5632950633190043E-2</v>
      </c>
    </row>
    <row r="500" spans="1:4" x14ac:dyDescent="0.25">
      <c r="A500" s="1" t="s">
        <v>38</v>
      </c>
      <c r="B500" t="s">
        <v>141</v>
      </c>
      <c r="C500" t="s">
        <v>169</v>
      </c>
      <c r="D500">
        <v>7.1428571428571425E-2</v>
      </c>
    </row>
    <row r="501" spans="1:4" x14ac:dyDescent="0.25">
      <c r="A501" s="1" t="s">
        <v>40</v>
      </c>
      <c r="B501" t="s">
        <v>142</v>
      </c>
      <c r="C501" t="s">
        <v>169</v>
      </c>
      <c r="D501">
        <v>7.5452515700393866E-2</v>
      </c>
    </row>
    <row r="502" spans="1:4" x14ac:dyDescent="0.25">
      <c r="A502" s="1" t="s">
        <v>42</v>
      </c>
      <c r="B502" t="s">
        <v>143</v>
      </c>
      <c r="C502" t="s">
        <v>169</v>
      </c>
      <c r="D502">
        <v>6.5410696747469604E-2</v>
      </c>
    </row>
    <row r="503" spans="1:4" x14ac:dyDescent="0.25">
      <c r="A503" s="1" t="s">
        <v>44</v>
      </c>
      <c r="B503" t="s">
        <v>144</v>
      </c>
      <c r="C503" t="s">
        <v>169</v>
      </c>
      <c r="D503">
        <v>3.602112915662975E-2</v>
      </c>
    </row>
    <row r="504" spans="1:4" x14ac:dyDescent="0.25">
      <c r="A504" s="1" t="s">
        <v>46</v>
      </c>
      <c r="B504" t="s">
        <v>145</v>
      </c>
      <c r="C504" t="s">
        <v>169</v>
      </c>
      <c r="D504">
        <v>7.9525419937033021E-2</v>
      </c>
    </row>
    <row r="505" spans="1:4" x14ac:dyDescent="0.25">
      <c r="A505" s="1" t="s">
        <v>48</v>
      </c>
      <c r="B505" t="s">
        <v>146</v>
      </c>
      <c r="C505" t="s">
        <v>169</v>
      </c>
      <c r="D505">
        <v>4.0604752103998186E-2</v>
      </c>
    </row>
    <row r="506" spans="1:4" x14ac:dyDescent="0.25">
      <c r="A506" s="1" t="s">
        <v>50</v>
      </c>
      <c r="B506" t="s">
        <v>147</v>
      </c>
      <c r="C506" t="s">
        <v>169</v>
      </c>
      <c r="D506">
        <v>7.2004669253708797E-2</v>
      </c>
    </row>
    <row r="507" spans="1:4" x14ac:dyDescent="0.25">
      <c r="A507" s="1" t="s">
        <v>52</v>
      </c>
      <c r="B507" t="s">
        <v>148</v>
      </c>
      <c r="C507" t="s">
        <v>169</v>
      </c>
      <c r="D507">
        <v>7.2006608217486487E-2</v>
      </c>
    </row>
    <row r="508" spans="1:4" x14ac:dyDescent="0.25">
      <c r="A508" s="1" t="s">
        <v>54</v>
      </c>
      <c r="B508" t="s">
        <v>149</v>
      </c>
      <c r="C508" t="s">
        <v>169</v>
      </c>
      <c r="D508">
        <v>4.8065026267802305E-2</v>
      </c>
    </row>
    <row r="509" spans="1:4" x14ac:dyDescent="0.25">
      <c r="A509" s="1" t="s">
        <v>56</v>
      </c>
      <c r="B509" t="s">
        <v>150</v>
      </c>
      <c r="C509" t="s">
        <v>169</v>
      </c>
      <c r="D509">
        <v>6.4041676359525929E-2</v>
      </c>
    </row>
    <row r="510" spans="1:4" x14ac:dyDescent="0.25">
      <c r="A510" s="1" t="s">
        <v>58</v>
      </c>
      <c r="B510" t="s">
        <v>151</v>
      </c>
      <c r="C510" t="s">
        <v>169</v>
      </c>
      <c r="D510">
        <v>5.1445717564284232E-2</v>
      </c>
    </row>
    <row r="511" spans="1:4" x14ac:dyDescent="0.25">
      <c r="A511" s="1" t="s">
        <v>0</v>
      </c>
      <c r="B511" t="s">
        <v>122</v>
      </c>
      <c r="C511" t="s">
        <v>170</v>
      </c>
      <c r="D511">
        <v>6.7090361923556954E-2</v>
      </c>
    </row>
    <row r="512" spans="1:4" x14ac:dyDescent="0.25">
      <c r="A512" s="1" t="s">
        <v>2</v>
      </c>
      <c r="B512" t="s">
        <v>123</v>
      </c>
      <c r="C512" t="s">
        <v>170</v>
      </c>
      <c r="D512">
        <v>5.2445378104730801E-2</v>
      </c>
    </row>
    <row r="513" spans="1:4" x14ac:dyDescent="0.25">
      <c r="A513" s="1" t="s">
        <v>4</v>
      </c>
      <c r="B513" t="s">
        <v>124</v>
      </c>
      <c r="C513" t="s">
        <v>170</v>
      </c>
      <c r="D513">
        <v>4.9447983494555613E-2</v>
      </c>
    </row>
    <row r="514" spans="1:4" x14ac:dyDescent="0.25">
      <c r="A514" s="1" t="s">
        <v>6</v>
      </c>
      <c r="B514" t="s">
        <v>125</v>
      </c>
      <c r="C514" t="s">
        <v>170</v>
      </c>
      <c r="D514">
        <v>4.9267998199040312E-2</v>
      </c>
    </row>
    <row r="515" spans="1:4" x14ac:dyDescent="0.25">
      <c r="A515" s="1" t="s">
        <v>8</v>
      </c>
      <c r="B515" t="s">
        <v>126</v>
      </c>
      <c r="C515" t="s">
        <v>170</v>
      </c>
      <c r="D515">
        <v>5.8137151404362861E-2</v>
      </c>
    </row>
    <row r="516" spans="1:4" x14ac:dyDescent="0.25">
      <c r="A516" s="1" t="s">
        <v>10</v>
      </c>
      <c r="B516" t="s">
        <v>127</v>
      </c>
      <c r="C516" t="s">
        <v>170</v>
      </c>
      <c r="D516">
        <v>5.1976884914927392E-2</v>
      </c>
    </row>
    <row r="517" spans="1:4" x14ac:dyDescent="0.25">
      <c r="A517" s="1" t="s">
        <v>12</v>
      </c>
      <c r="B517" t="s">
        <v>128</v>
      </c>
      <c r="C517" t="s">
        <v>170</v>
      </c>
      <c r="D517">
        <v>4.9224725447642989E-2</v>
      </c>
    </row>
    <row r="518" spans="1:4" x14ac:dyDescent="0.25">
      <c r="A518" s="1" t="s">
        <v>14</v>
      </c>
      <c r="B518" t="s">
        <v>129</v>
      </c>
      <c r="C518" t="s">
        <v>170</v>
      </c>
      <c r="D518">
        <v>5.518311442110066E-2</v>
      </c>
    </row>
    <row r="519" spans="1:4" x14ac:dyDescent="0.25">
      <c r="A519" s="1" t="s">
        <v>16</v>
      </c>
      <c r="B519" t="s">
        <v>130</v>
      </c>
      <c r="C519" t="s">
        <v>170</v>
      </c>
      <c r="D519">
        <v>5.0111404919168198E-2</v>
      </c>
    </row>
    <row r="520" spans="1:4" x14ac:dyDescent="0.25">
      <c r="A520" s="1" t="s">
        <v>18</v>
      </c>
      <c r="B520" t="s">
        <v>131</v>
      </c>
      <c r="C520" t="s">
        <v>170</v>
      </c>
      <c r="D520">
        <v>6.1660232034921804E-2</v>
      </c>
    </row>
    <row r="521" spans="1:4" x14ac:dyDescent="0.25">
      <c r="A521" s="1" t="s">
        <v>20</v>
      </c>
      <c r="B521" t="s">
        <v>132</v>
      </c>
      <c r="C521" t="s">
        <v>170</v>
      </c>
      <c r="D521">
        <v>5.6656434853254112E-2</v>
      </c>
    </row>
    <row r="522" spans="1:4" x14ac:dyDescent="0.25">
      <c r="A522" s="1" t="s">
        <v>22</v>
      </c>
      <c r="B522" t="s">
        <v>133</v>
      </c>
      <c r="C522" t="s">
        <v>170</v>
      </c>
      <c r="D522">
        <v>5.4135413263290445E-2</v>
      </c>
    </row>
    <row r="523" spans="1:4" x14ac:dyDescent="0.25">
      <c r="A523" s="1" t="s">
        <v>24</v>
      </c>
      <c r="B523" t="s">
        <v>134</v>
      </c>
      <c r="C523" t="s">
        <v>170</v>
      </c>
      <c r="D523">
        <v>6.0097132121407527E-2</v>
      </c>
    </row>
    <row r="524" spans="1:4" x14ac:dyDescent="0.25">
      <c r="A524" s="1" t="s">
        <v>26</v>
      </c>
      <c r="B524" t="s">
        <v>135</v>
      </c>
      <c r="C524" t="s">
        <v>170</v>
      </c>
      <c r="D524">
        <v>5.4620515177955249E-2</v>
      </c>
    </row>
    <row r="525" spans="1:4" x14ac:dyDescent="0.25">
      <c r="A525" s="1" t="s">
        <v>28</v>
      </c>
      <c r="B525" t="s">
        <v>136</v>
      </c>
      <c r="C525" t="s">
        <v>170</v>
      </c>
      <c r="D525">
        <v>5.8136386440403885E-2</v>
      </c>
    </row>
    <row r="526" spans="1:4" x14ac:dyDescent="0.25">
      <c r="A526" s="1" t="s">
        <v>30</v>
      </c>
      <c r="B526" t="s">
        <v>137</v>
      </c>
      <c r="C526" t="s">
        <v>170</v>
      </c>
      <c r="D526">
        <v>5.8778332322576829E-2</v>
      </c>
    </row>
    <row r="527" spans="1:4" x14ac:dyDescent="0.25">
      <c r="A527" s="1" t="s">
        <v>32</v>
      </c>
      <c r="B527" t="s">
        <v>138</v>
      </c>
      <c r="C527" t="s">
        <v>170</v>
      </c>
      <c r="D527">
        <v>6.0746243255041438E-2</v>
      </c>
    </row>
    <row r="528" spans="1:4" x14ac:dyDescent="0.25">
      <c r="A528" s="1" t="s">
        <v>34</v>
      </c>
      <c r="B528" t="s">
        <v>139</v>
      </c>
      <c r="C528" t="s">
        <v>170</v>
      </c>
      <c r="D528">
        <v>5.9333507332770596E-2</v>
      </c>
    </row>
    <row r="529" spans="1:4" x14ac:dyDescent="0.25">
      <c r="A529" s="1" t="s">
        <v>36</v>
      </c>
      <c r="B529" t="s">
        <v>140</v>
      </c>
      <c r="C529" t="s">
        <v>170</v>
      </c>
      <c r="D529">
        <v>5.5632950633190043E-2</v>
      </c>
    </row>
    <row r="530" spans="1:4" x14ac:dyDescent="0.25">
      <c r="A530" s="1" t="s">
        <v>38</v>
      </c>
      <c r="B530" t="s">
        <v>141</v>
      </c>
      <c r="C530" t="s">
        <v>170</v>
      </c>
      <c r="D530">
        <v>7.1428571428571425E-2</v>
      </c>
    </row>
    <row r="531" spans="1:4" x14ac:dyDescent="0.25">
      <c r="A531" s="1" t="s">
        <v>40</v>
      </c>
      <c r="B531" t="s">
        <v>142</v>
      </c>
      <c r="C531" t="s">
        <v>170</v>
      </c>
      <c r="D531">
        <v>7.5452515700393866E-2</v>
      </c>
    </row>
    <row r="532" spans="1:4" x14ac:dyDescent="0.25">
      <c r="A532" s="1" t="s">
        <v>42</v>
      </c>
      <c r="B532" t="s">
        <v>143</v>
      </c>
      <c r="C532" t="s">
        <v>170</v>
      </c>
      <c r="D532">
        <v>6.5410696747469604E-2</v>
      </c>
    </row>
    <row r="533" spans="1:4" x14ac:dyDescent="0.25">
      <c r="A533" s="1" t="s">
        <v>44</v>
      </c>
      <c r="B533" t="s">
        <v>144</v>
      </c>
      <c r="C533" t="s">
        <v>170</v>
      </c>
      <c r="D533">
        <v>3.602112915662975E-2</v>
      </c>
    </row>
    <row r="534" spans="1:4" x14ac:dyDescent="0.25">
      <c r="A534" s="1" t="s">
        <v>46</v>
      </c>
      <c r="B534" t="s">
        <v>145</v>
      </c>
      <c r="C534" t="s">
        <v>170</v>
      </c>
      <c r="D534">
        <v>7.9525419937033021E-2</v>
      </c>
    </row>
    <row r="535" spans="1:4" x14ac:dyDescent="0.25">
      <c r="A535" s="1" t="s">
        <v>48</v>
      </c>
      <c r="B535" t="s">
        <v>146</v>
      </c>
      <c r="C535" t="s">
        <v>170</v>
      </c>
      <c r="D535">
        <v>4.0604752103998186E-2</v>
      </c>
    </row>
    <row r="536" spans="1:4" x14ac:dyDescent="0.25">
      <c r="A536" s="1" t="s">
        <v>50</v>
      </c>
      <c r="B536" t="s">
        <v>147</v>
      </c>
      <c r="C536" t="s">
        <v>170</v>
      </c>
      <c r="D536">
        <v>7.2004669253708797E-2</v>
      </c>
    </row>
    <row r="537" spans="1:4" x14ac:dyDescent="0.25">
      <c r="A537" s="1" t="s">
        <v>52</v>
      </c>
      <c r="B537" t="s">
        <v>148</v>
      </c>
      <c r="C537" t="s">
        <v>170</v>
      </c>
      <c r="D537">
        <v>7.2006608217486487E-2</v>
      </c>
    </row>
    <row r="538" spans="1:4" x14ac:dyDescent="0.25">
      <c r="A538" s="1" t="s">
        <v>54</v>
      </c>
      <c r="B538" t="s">
        <v>149</v>
      </c>
      <c r="C538" t="s">
        <v>170</v>
      </c>
      <c r="D538">
        <v>4.8065026267802305E-2</v>
      </c>
    </row>
    <row r="539" spans="1:4" x14ac:dyDescent="0.25">
      <c r="A539" s="1" t="s">
        <v>56</v>
      </c>
      <c r="B539" t="s">
        <v>150</v>
      </c>
      <c r="C539" t="s">
        <v>170</v>
      </c>
      <c r="D539">
        <v>6.4041676359525929E-2</v>
      </c>
    </row>
    <row r="540" spans="1:4" x14ac:dyDescent="0.25">
      <c r="A540" s="1" t="s">
        <v>58</v>
      </c>
      <c r="B540" t="s">
        <v>151</v>
      </c>
      <c r="C540" t="s">
        <v>170</v>
      </c>
      <c r="D540">
        <v>5.1445717564284232E-2</v>
      </c>
    </row>
    <row r="541" spans="1:4" x14ac:dyDescent="0.25">
      <c r="A541" s="1" t="s">
        <v>0</v>
      </c>
      <c r="B541" t="s">
        <v>122</v>
      </c>
      <c r="C541" t="s">
        <v>171</v>
      </c>
      <c r="D541">
        <v>6.7090361923556954E-2</v>
      </c>
    </row>
    <row r="542" spans="1:4" x14ac:dyDescent="0.25">
      <c r="A542" s="1" t="s">
        <v>2</v>
      </c>
      <c r="B542" t="s">
        <v>123</v>
      </c>
      <c r="C542" t="s">
        <v>171</v>
      </c>
      <c r="D542">
        <v>5.2445378104730801E-2</v>
      </c>
    </row>
    <row r="543" spans="1:4" x14ac:dyDescent="0.25">
      <c r="A543" s="1" t="s">
        <v>4</v>
      </c>
      <c r="B543" t="s">
        <v>124</v>
      </c>
      <c r="C543" t="s">
        <v>171</v>
      </c>
      <c r="D543">
        <v>4.9447983494555613E-2</v>
      </c>
    </row>
    <row r="544" spans="1:4" x14ac:dyDescent="0.25">
      <c r="A544" s="1" t="s">
        <v>6</v>
      </c>
      <c r="B544" t="s">
        <v>125</v>
      </c>
      <c r="C544" t="s">
        <v>171</v>
      </c>
      <c r="D544">
        <v>4.9267998199040312E-2</v>
      </c>
    </row>
    <row r="545" spans="1:4" x14ac:dyDescent="0.25">
      <c r="A545" s="1" t="s">
        <v>8</v>
      </c>
      <c r="B545" t="s">
        <v>126</v>
      </c>
      <c r="C545" t="s">
        <v>171</v>
      </c>
      <c r="D545">
        <v>5.8137151404362861E-2</v>
      </c>
    </row>
    <row r="546" spans="1:4" x14ac:dyDescent="0.25">
      <c r="A546" s="1" t="s">
        <v>10</v>
      </c>
      <c r="B546" t="s">
        <v>127</v>
      </c>
      <c r="C546" t="s">
        <v>171</v>
      </c>
      <c r="D546">
        <v>5.1976884914927392E-2</v>
      </c>
    </row>
    <row r="547" spans="1:4" x14ac:dyDescent="0.25">
      <c r="A547" s="1" t="s">
        <v>12</v>
      </c>
      <c r="B547" t="s">
        <v>128</v>
      </c>
      <c r="C547" t="s">
        <v>171</v>
      </c>
      <c r="D547">
        <v>4.9224725447642989E-2</v>
      </c>
    </row>
    <row r="548" spans="1:4" x14ac:dyDescent="0.25">
      <c r="A548" s="1" t="s">
        <v>14</v>
      </c>
      <c r="B548" t="s">
        <v>129</v>
      </c>
      <c r="C548" t="s">
        <v>171</v>
      </c>
      <c r="D548">
        <v>5.518311442110066E-2</v>
      </c>
    </row>
    <row r="549" spans="1:4" x14ac:dyDescent="0.25">
      <c r="A549" s="1" t="s">
        <v>16</v>
      </c>
      <c r="B549" t="s">
        <v>130</v>
      </c>
      <c r="C549" t="s">
        <v>171</v>
      </c>
      <c r="D549">
        <v>5.0111404919168198E-2</v>
      </c>
    </row>
    <row r="550" spans="1:4" x14ac:dyDescent="0.25">
      <c r="A550" s="1" t="s">
        <v>18</v>
      </c>
      <c r="B550" t="s">
        <v>131</v>
      </c>
      <c r="C550" t="s">
        <v>171</v>
      </c>
      <c r="D550">
        <v>6.1660232034921804E-2</v>
      </c>
    </row>
    <row r="551" spans="1:4" x14ac:dyDescent="0.25">
      <c r="A551" s="1" t="s">
        <v>20</v>
      </c>
      <c r="B551" t="s">
        <v>132</v>
      </c>
      <c r="C551" t="s">
        <v>171</v>
      </c>
      <c r="D551">
        <v>5.6656434853254112E-2</v>
      </c>
    </row>
    <row r="552" spans="1:4" x14ac:dyDescent="0.25">
      <c r="A552" s="1" t="s">
        <v>22</v>
      </c>
      <c r="B552" t="s">
        <v>133</v>
      </c>
      <c r="C552" t="s">
        <v>171</v>
      </c>
      <c r="D552">
        <v>5.4135413263290445E-2</v>
      </c>
    </row>
    <row r="553" spans="1:4" x14ac:dyDescent="0.25">
      <c r="A553" s="1" t="s">
        <v>24</v>
      </c>
      <c r="B553" t="s">
        <v>134</v>
      </c>
      <c r="C553" t="s">
        <v>171</v>
      </c>
      <c r="D553">
        <v>6.0097132121407527E-2</v>
      </c>
    </row>
    <row r="554" spans="1:4" x14ac:dyDescent="0.25">
      <c r="A554" s="1" t="s">
        <v>26</v>
      </c>
      <c r="B554" t="s">
        <v>135</v>
      </c>
      <c r="C554" t="s">
        <v>171</v>
      </c>
      <c r="D554">
        <v>5.4620515177955249E-2</v>
      </c>
    </row>
    <row r="555" spans="1:4" x14ac:dyDescent="0.25">
      <c r="A555" s="1" t="s">
        <v>28</v>
      </c>
      <c r="B555" t="s">
        <v>136</v>
      </c>
      <c r="C555" t="s">
        <v>171</v>
      </c>
      <c r="D555">
        <v>5.8136386440403885E-2</v>
      </c>
    </row>
    <row r="556" spans="1:4" x14ac:dyDescent="0.25">
      <c r="A556" s="1" t="s">
        <v>30</v>
      </c>
      <c r="B556" t="s">
        <v>137</v>
      </c>
      <c r="C556" t="s">
        <v>171</v>
      </c>
      <c r="D556">
        <v>5.8778332322576829E-2</v>
      </c>
    </row>
    <row r="557" spans="1:4" x14ac:dyDescent="0.25">
      <c r="A557" s="1" t="s">
        <v>32</v>
      </c>
      <c r="B557" t="s">
        <v>138</v>
      </c>
      <c r="C557" t="s">
        <v>171</v>
      </c>
      <c r="D557">
        <v>6.0746243255041438E-2</v>
      </c>
    </row>
    <row r="558" spans="1:4" x14ac:dyDescent="0.25">
      <c r="A558" s="1" t="s">
        <v>34</v>
      </c>
      <c r="B558" t="s">
        <v>139</v>
      </c>
      <c r="C558" t="s">
        <v>171</v>
      </c>
      <c r="D558">
        <v>5.9333507332770596E-2</v>
      </c>
    </row>
    <row r="559" spans="1:4" x14ac:dyDescent="0.25">
      <c r="A559" s="1" t="s">
        <v>36</v>
      </c>
      <c r="B559" t="s">
        <v>140</v>
      </c>
      <c r="C559" t="s">
        <v>171</v>
      </c>
      <c r="D559">
        <v>5.5632950633190043E-2</v>
      </c>
    </row>
    <row r="560" spans="1:4" x14ac:dyDescent="0.25">
      <c r="A560" s="1" t="s">
        <v>38</v>
      </c>
      <c r="B560" t="s">
        <v>141</v>
      </c>
      <c r="C560" t="s">
        <v>171</v>
      </c>
      <c r="D560">
        <v>7.1428571428571425E-2</v>
      </c>
    </row>
    <row r="561" spans="1:4" x14ac:dyDescent="0.25">
      <c r="A561" s="1" t="s">
        <v>40</v>
      </c>
      <c r="B561" t="s">
        <v>142</v>
      </c>
      <c r="C561" t="s">
        <v>171</v>
      </c>
      <c r="D561">
        <v>7.5452515700393866E-2</v>
      </c>
    </row>
    <row r="562" spans="1:4" x14ac:dyDescent="0.25">
      <c r="A562" s="1" t="s">
        <v>42</v>
      </c>
      <c r="B562" t="s">
        <v>143</v>
      </c>
      <c r="C562" t="s">
        <v>171</v>
      </c>
      <c r="D562">
        <v>6.5410696747469604E-2</v>
      </c>
    </row>
    <row r="563" spans="1:4" x14ac:dyDescent="0.25">
      <c r="A563" s="1" t="s">
        <v>44</v>
      </c>
      <c r="B563" t="s">
        <v>144</v>
      </c>
      <c r="C563" t="s">
        <v>171</v>
      </c>
      <c r="D563">
        <v>3.602112915662975E-2</v>
      </c>
    </row>
    <row r="564" spans="1:4" x14ac:dyDescent="0.25">
      <c r="A564" s="1" t="s">
        <v>46</v>
      </c>
      <c r="B564" t="s">
        <v>145</v>
      </c>
      <c r="C564" t="s">
        <v>171</v>
      </c>
      <c r="D564">
        <v>7.9525419937033021E-2</v>
      </c>
    </row>
    <row r="565" spans="1:4" x14ac:dyDescent="0.25">
      <c r="A565" s="1" t="s">
        <v>48</v>
      </c>
      <c r="B565" t="s">
        <v>146</v>
      </c>
      <c r="C565" t="s">
        <v>171</v>
      </c>
      <c r="D565">
        <v>4.0604752103998186E-2</v>
      </c>
    </row>
    <row r="566" spans="1:4" x14ac:dyDescent="0.25">
      <c r="A566" s="1" t="s">
        <v>50</v>
      </c>
      <c r="B566" t="s">
        <v>147</v>
      </c>
      <c r="C566" t="s">
        <v>171</v>
      </c>
      <c r="D566">
        <v>7.2004669253708797E-2</v>
      </c>
    </row>
    <row r="567" spans="1:4" x14ac:dyDescent="0.25">
      <c r="A567" s="1" t="s">
        <v>52</v>
      </c>
      <c r="B567" t="s">
        <v>148</v>
      </c>
      <c r="C567" t="s">
        <v>171</v>
      </c>
      <c r="D567">
        <v>7.2006608217486487E-2</v>
      </c>
    </row>
    <row r="568" spans="1:4" x14ac:dyDescent="0.25">
      <c r="A568" s="1" t="s">
        <v>54</v>
      </c>
      <c r="B568" t="s">
        <v>149</v>
      </c>
      <c r="C568" t="s">
        <v>171</v>
      </c>
      <c r="D568">
        <v>4.8065026267802305E-2</v>
      </c>
    </row>
    <row r="569" spans="1:4" x14ac:dyDescent="0.25">
      <c r="A569" s="1" t="s">
        <v>56</v>
      </c>
      <c r="B569" t="s">
        <v>150</v>
      </c>
      <c r="C569" t="s">
        <v>171</v>
      </c>
      <c r="D569">
        <v>6.4041676359525929E-2</v>
      </c>
    </row>
    <row r="570" spans="1:4" x14ac:dyDescent="0.25">
      <c r="A570" s="1" t="s">
        <v>58</v>
      </c>
      <c r="B570" t="s">
        <v>151</v>
      </c>
      <c r="C570" t="s">
        <v>171</v>
      </c>
      <c r="D570">
        <v>5.1445717564284232E-2</v>
      </c>
    </row>
    <row r="571" spans="1:4" x14ac:dyDescent="0.25">
      <c r="A571" s="1" t="s">
        <v>0</v>
      </c>
      <c r="B571" t="s">
        <v>122</v>
      </c>
      <c r="C571" t="s">
        <v>172</v>
      </c>
      <c r="D571">
        <v>6.7090361923556954E-2</v>
      </c>
    </row>
    <row r="572" spans="1:4" x14ac:dyDescent="0.25">
      <c r="A572" s="1" t="s">
        <v>2</v>
      </c>
      <c r="B572" t="s">
        <v>123</v>
      </c>
      <c r="C572" t="s">
        <v>172</v>
      </c>
      <c r="D572">
        <v>5.2445378104730801E-2</v>
      </c>
    </row>
    <row r="573" spans="1:4" x14ac:dyDescent="0.25">
      <c r="A573" s="1" t="s">
        <v>4</v>
      </c>
      <c r="B573" t="s">
        <v>124</v>
      </c>
      <c r="C573" t="s">
        <v>172</v>
      </c>
      <c r="D573">
        <v>4.9447983494555613E-2</v>
      </c>
    </row>
    <row r="574" spans="1:4" x14ac:dyDescent="0.25">
      <c r="A574" s="1" t="s">
        <v>6</v>
      </c>
      <c r="B574" t="s">
        <v>125</v>
      </c>
      <c r="C574" t="s">
        <v>172</v>
      </c>
      <c r="D574">
        <v>4.9267998199040312E-2</v>
      </c>
    </row>
    <row r="575" spans="1:4" x14ac:dyDescent="0.25">
      <c r="A575" s="1" t="s">
        <v>8</v>
      </c>
      <c r="B575" t="s">
        <v>126</v>
      </c>
      <c r="C575" t="s">
        <v>172</v>
      </c>
      <c r="D575">
        <v>5.8137151404362861E-2</v>
      </c>
    </row>
    <row r="576" spans="1:4" x14ac:dyDescent="0.25">
      <c r="A576" s="1" t="s">
        <v>10</v>
      </c>
      <c r="B576" t="s">
        <v>127</v>
      </c>
      <c r="C576" t="s">
        <v>172</v>
      </c>
      <c r="D576">
        <v>5.1976884914927392E-2</v>
      </c>
    </row>
    <row r="577" spans="1:4" x14ac:dyDescent="0.25">
      <c r="A577" s="1" t="s">
        <v>12</v>
      </c>
      <c r="B577" t="s">
        <v>128</v>
      </c>
      <c r="C577" t="s">
        <v>172</v>
      </c>
      <c r="D577">
        <v>4.9224725447642989E-2</v>
      </c>
    </row>
    <row r="578" spans="1:4" x14ac:dyDescent="0.25">
      <c r="A578" s="1" t="s">
        <v>14</v>
      </c>
      <c r="B578" t="s">
        <v>129</v>
      </c>
      <c r="C578" t="s">
        <v>172</v>
      </c>
      <c r="D578">
        <v>5.518311442110066E-2</v>
      </c>
    </row>
    <row r="579" spans="1:4" x14ac:dyDescent="0.25">
      <c r="A579" s="1" t="s">
        <v>16</v>
      </c>
      <c r="B579" t="s">
        <v>130</v>
      </c>
      <c r="C579" t="s">
        <v>172</v>
      </c>
      <c r="D579">
        <v>5.0111404919168198E-2</v>
      </c>
    </row>
    <row r="580" spans="1:4" x14ac:dyDescent="0.25">
      <c r="A580" s="1" t="s">
        <v>18</v>
      </c>
      <c r="B580" t="s">
        <v>131</v>
      </c>
      <c r="C580" t="s">
        <v>172</v>
      </c>
      <c r="D580">
        <v>6.1660232034921804E-2</v>
      </c>
    </row>
    <row r="581" spans="1:4" x14ac:dyDescent="0.25">
      <c r="A581" s="1" t="s">
        <v>20</v>
      </c>
      <c r="B581" t="s">
        <v>132</v>
      </c>
      <c r="C581" t="s">
        <v>172</v>
      </c>
      <c r="D581">
        <v>5.6656434853254112E-2</v>
      </c>
    </row>
    <row r="582" spans="1:4" x14ac:dyDescent="0.25">
      <c r="A582" s="1" t="s">
        <v>22</v>
      </c>
      <c r="B582" t="s">
        <v>133</v>
      </c>
      <c r="C582" t="s">
        <v>172</v>
      </c>
      <c r="D582">
        <v>5.4135413263290445E-2</v>
      </c>
    </row>
    <row r="583" spans="1:4" x14ac:dyDescent="0.25">
      <c r="A583" s="1" t="s">
        <v>24</v>
      </c>
      <c r="B583" t="s">
        <v>134</v>
      </c>
      <c r="C583" t="s">
        <v>172</v>
      </c>
      <c r="D583">
        <v>6.0097132121407527E-2</v>
      </c>
    </row>
    <row r="584" spans="1:4" x14ac:dyDescent="0.25">
      <c r="A584" s="1" t="s">
        <v>26</v>
      </c>
      <c r="B584" t="s">
        <v>135</v>
      </c>
      <c r="C584" t="s">
        <v>172</v>
      </c>
      <c r="D584">
        <v>5.4620515177955249E-2</v>
      </c>
    </row>
    <row r="585" spans="1:4" x14ac:dyDescent="0.25">
      <c r="A585" s="1" t="s">
        <v>28</v>
      </c>
      <c r="B585" t="s">
        <v>136</v>
      </c>
      <c r="C585" t="s">
        <v>172</v>
      </c>
      <c r="D585">
        <v>5.8136386440403885E-2</v>
      </c>
    </row>
    <row r="586" spans="1:4" x14ac:dyDescent="0.25">
      <c r="A586" s="1" t="s">
        <v>30</v>
      </c>
      <c r="B586" t="s">
        <v>137</v>
      </c>
      <c r="C586" t="s">
        <v>172</v>
      </c>
      <c r="D586">
        <v>5.8778332322576829E-2</v>
      </c>
    </row>
    <row r="587" spans="1:4" x14ac:dyDescent="0.25">
      <c r="A587" s="1" t="s">
        <v>32</v>
      </c>
      <c r="B587" t="s">
        <v>138</v>
      </c>
      <c r="C587" t="s">
        <v>172</v>
      </c>
      <c r="D587">
        <v>6.0746243255041438E-2</v>
      </c>
    </row>
    <row r="588" spans="1:4" x14ac:dyDescent="0.25">
      <c r="A588" s="1" t="s">
        <v>34</v>
      </c>
      <c r="B588" t="s">
        <v>139</v>
      </c>
      <c r="C588" t="s">
        <v>172</v>
      </c>
      <c r="D588">
        <v>5.9333507332770596E-2</v>
      </c>
    </row>
    <row r="589" spans="1:4" x14ac:dyDescent="0.25">
      <c r="A589" s="1" t="s">
        <v>36</v>
      </c>
      <c r="B589" t="s">
        <v>140</v>
      </c>
      <c r="C589" t="s">
        <v>172</v>
      </c>
      <c r="D589">
        <v>5.5632950633190043E-2</v>
      </c>
    </row>
    <row r="590" spans="1:4" x14ac:dyDescent="0.25">
      <c r="A590" s="1" t="s">
        <v>38</v>
      </c>
      <c r="B590" t="s">
        <v>141</v>
      </c>
      <c r="C590" t="s">
        <v>172</v>
      </c>
      <c r="D590">
        <v>7.1428571428571425E-2</v>
      </c>
    </row>
    <row r="591" spans="1:4" x14ac:dyDescent="0.25">
      <c r="A591" s="1" t="s">
        <v>40</v>
      </c>
      <c r="B591" t="s">
        <v>142</v>
      </c>
      <c r="C591" t="s">
        <v>172</v>
      </c>
      <c r="D591">
        <v>7.5452515700393866E-2</v>
      </c>
    </row>
    <row r="592" spans="1:4" x14ac:dyDescent="0.25">
      <c r="A592" s="1" t="s">
        <v>42</v>
      </c>
      <c r="B592" t="s">
        <v>143</v>
      </c>
      <c r="C592" t="s">
        <v>172</v>
      </c>
      <c r="D592">
        <v>6.5410696747469604E-2</v>
      </c>
    </row>
    <row r="593" spans="1:4" x14ac:dyDescent="0.25">
      <c r="A593" s="1" t="s">
        <v>44</v>
      </c>
      <c r="B593" t="s">
        <v>144</v>
      </c>
      <c r="C593" t="s">
        <v>172</v>
      </c>
      <c r="D593">
        <v>3.602112915662975E-2</v>
      </c>
    </row>
    <row r="594" spans="1:4" x14ac:dyDescent="0.25">
      <c r="A594" s="1" t="s">
        <v>46</v>
      </c>
      <c r="B594" t="s">
        <v>145</v>
      </c>
      <c r="C594" t="s">
        <v>172</v>
      </c>
      <c r="D594">
        <v>7.9525419937033021E-2</v>
      </c>
    </row>
    <row r="595" spans="1:4" x14ac:dyDescent="0.25">
      <c r="A595" s="1" t="s">
        <v>48</v>
      </c>
      <c r="B595" t="s">
        <v>146</v>
      </c>
      <c r="C595" t="s">
        <v>172</v>
      </c>
      <c r="D595">
        <v>4.0604752103998186E-2</v>
      </c>
    </row>
    <row r="596" spans="1:4" x14ac:dyDescent="0.25">
      <c r="A596" s="1" t="s">
        <v>50</v>
      </c>
      <c r="B596" t="s">
        <v>147</v>
      </c>
      <c r="C596" t="s">
        <v>172</v>
      </c>
      <c r="D596">
        <v>7.2004669253708797E-2</v>
      </c>
    </row>
    <row r="597" spans="1:4" x14ac:dyDescent="0.25">
      <c r="A597" s="1" t="s">
        <v>52</v>
      </c>
      <c r="B597" t="s">
        <v>148</v>
      </c>
      <c r="C597" t="s">
        <v>172</v>
      </c>
      <c r="D597">
        <v>7.2006608217486487E-2</v>
      </c>
    </row>
    <row r="598" spans="1:4" x14ac:dyDescent="0.25">
      <c r="A598" s="1" t="s">
        <v>54</v>
      </c>
      <c r="B598" t="s">
        <v>149</v>
      </c>
      <c r="C598" t="s">
        <v>172</v>
      </c>
      <c r="D598">
        <v>4.8065026267802305E-2</v>
      </c>
    </row>
    <row r="599" spans="1:4" x14ac:dyDescent="0.25">
      <c r="A599" s="1" t="s">
        <v>56</v>
      </c>
      <c r="B599" t="s">
        <v>150</v>
      </c>
      <c r="C599" t="s">
        <v>172</v>
      </c>
      <c r="D599">
        <v>6.4041676359525929E-2</v>
      </c>
    </row>
    <row r="600" spans="1:4" x14ac:dyDescent="0.25">
      <c r="A600" s="1" t="s">
        <v>58</v>
      </c>
      <c r="B600" t="s">
        <v>151</v>
      </c>
      <c r="C600" t="s">
        <v>172</v>
      </c>
      <c r="D600">
        <v>5.1445717564284232E-2</v>
      </c>
    </row>
    <row r="601" spans="1:4" x14ac:dyDescent="0.25">
      <c r="A601" s="1" t="s">
        <v>0</v>
      </c>
      <c r="B601" t="s">
        <v>122</v>
      </c>
      <c r="C601" t="s">
        <v>173</v>
      </c>
      <c r="D601">
        <v>6.7090361923556954E-2</v>
      </c>
    </row>
    <row r="602" spans="1:4" x14ac:dyDescent="0.25">
      <c r="A602" s="1" t="s">
        <v>2</v>
      </c>
      <c r="B602" t="s">
        <v>123</v>
      </c>
      <c r="C602" t="s">
        <v>173</v>
      </c>
      <c r="D602">
        <v>5.2445378104730801E-2</v>
      </c>
    </row>
    <row r="603" spans="1:4" x14ac:dyDescent="0.25">
      <c r="A603" s="1" t="s">
        <v>4</v>
      </c>
      <c r="B603" t="s">
        <v>124</v>
      </c>
      <c r="C603" t="s">
        <v>173</v>
      </c>
      <c r="D603">
        <v>4.9447983494555613E-2</v>
      </c>
    </row>
    <row r="604" spans="1:4" x14ac:dyDescent="0.25">
      <c r="A604" s="1" t="s">
        <v>6</v>
      </c>
      <c r="B604" t="s">
        <v>125</v>
      </c>
      <c r="C604" t="s">
        <v>173</v>
      </c>
      <c r="D604">
        <v>4.9267998199040312E-2</v>
      </c>
    </row>
    <row r="605" spans="1:4" x14ac:dyDescent="0.25">
      <c r="A605" s="1" t="s">
        <v>8</v>
      </c>
      <c r="B605" t="s">
        <v>126</v>
      </c>
      <c r="C605" t="s">
        <v>173</v>
      </c>
      <c r="D605">
        <v>5.8137151404362861E-2</v>
      </c>
    </row>
    <row r="606" spans="1:4" x14ac:dyDescent="0.25">
      <c r="A606" s="1" t="s">
        <v>10</v>
      </c>
      <c r="B606" t="s">
        <v>127</v>
      </c>
      <c r="C606" t="s">
        <v>173</v>
      </c>
      <c r="D606">
        <v>5.1976884914927392E-2</v>
      </c>
    </row>
    <row r="607" spans="1:4" x14ac:dyDescent="0.25">
      <c r="A607" s="1" t="s">
        <v>12</v>
      </c>
      <c r="B607" t="s">
        <v>128</v>
      </c>
      <c r="C607" t="s">
        <v>173</v>
      </c>
      <c r="D607">
        <v>4.9224725447642989E-2</v>
      </c>
    </row>
    <row r="608" spans="1:4" x14ac:dyDescent="0.25">
      <c r="A608" s="1" t="s">
        <v>14</v>
      </c>
      <c r="B608" t="s">
        <v>129</v>
      </c>
      <c r="C608" t="s">
        <v>173</v>
      </c>
      <c r="D608">
        <v>5.518311442110066E-2</v>
      </c>
    </row>
    <row r="609" spans="1:4" x14ac:dyDescent="0.25">
      <c r="A609" s="1" t="s">
        <v>16</v>
      </c>
      <c r="B609" t="s">
        <v>130</v>
      </c>
      <c r="C609" t="s">
        <v>173</v>
      </c>
      <c r="D609">
        <v>5.0111404919168198E-2</v>
      </c>
    </row>
    <row r="610" spans="1:4" x14ac:dyDescent="0.25">
      <c r="A610" s="1" t="s">
        <v>18</v>
      </c>
      <c r="B610" t="s">
        <v>131</v>
      </c>
      <c r="C610" t="s">
        <v>173</v>
      </c>
      <c r="D610">
        <v>6.1660232034921804E-2</v>
      </c>
    </row>
    <row r="611" spans="1:4" x14ac:dyDescent="0.25">
      <c r="A611" s="1" t="s">
        <v>20</v>
      </c>
      <c r="B611" t="s">
        <v>132</v>
      </c>
      <c r="C611" t="s">
        <v>173</v>
      </c>
      <c r="D611">
        <v>5.6656434853254112E-2</v>
      </c>
    </row>
    <row r="612" spans="1:4" x14ac:dyDescent="0.25">
      <c r="A612" s="1" t="s">
        <v>22</v>
      </c>
      <c r="B612" t="s">
        <v>133</v>
      </c>
      <c r="C612" t="s">
        <v>173</v>
      </c>
      <c r="D612">
        <v>5.4135413263290445E-2</v>
      </c>
    </row>
    <row r="613" spans="1:4" x14ac:dyDescent="0.25">
      <c r="A613" s="1" t="s">
        <v>24</v>
      </c>
      <c r="B613" t="s">
        <v>134</v>
      </c>
      <c r="C613" t="s">
        <v>173</v>
      </c>
      <c r="D613">
        <v>6.0097132121407527E-2</v>
      </c>
    </row>
    <row r="614" spans="1:4" x14ac:dyDescent="0.25">
      <c r="A614" s="1" t="s">
        <v>26</v>
      </c>
      <c r="B614" t="s">
        <v>135</v>
      </c>
      <c r="C614" t="s">
        <v>173</v>
      </c>
      <c r="D614">
        <v>5.4620515177955249E-2</v>
      </c>
    </row>
    <row r="615" spans="1:4" x14ac:dyDescent="0.25">
      <c r="A615" s="1" t="s">
        <v>28</v>
      </c>
      <c r="B615" t="s">
        <v>136</v>
      </c>
      <c r="C615" t="s">
        <v>173</v>
      </c>
      <c r="D615">
        <v>5.8136386440403885E-2</v>
      </c>
    </row>
    <row r="616" spans="1:4" x14ac:dyDescent="0.25">
      <c r="A616" s="1" t="s">
        <v>30</v>
      </c>
      <c r="B616" t="s">
        <v>137</v>
      </c>
      <c r="C616" t="s">
        <v>173</v>
      </c>
      <c r="D616">
        <v>5.8778332322576829E-2</v>
      </c>
    </row>
    <row r="617" spans="1:4" x14ac:dyDescent="0.25">
      <c r="A617" s="1" t="s">
        <v>32</v>
      </c>
      <c r="B617" t="s">
        <v>138</v>
      </c>
      <c r="C617" t="s">
        <v>173</v>
      </c>
      <c r="D617">
        <v>6.0746243255041438E-2</v>
      </c>
    </row>
    <row r="618" spans="1:4" x14ac:dyDescent="0.25">
      <c r="A618" s="1" t="s">
        <v>34</v>
      </c>
      <c r="B618" t="s">
        <v>139</v>
      </c>
      <c r="C618" t="s">
        <v>173</v>
      </c>
      <c r="D618">
        <v>5.9333507332770596E-2</v>
      </c>
    </row>
    <row r="619" spans="1:4" x14ac:dyDescent="0.25">
      <c r="A619" s="1" t="s">
        <v>36</v>
      </c>
      <c r="B619" t="s">
        <v>140</v>
      </c>
      <c r="C619" t="s">
        <v>173</v>
      </c>
      <c r="D619">
        <v>5.5632950633190043E-2</v>
      </c>
    </row>
    <row r="620" spans="1:4" x14ac:dyDescent="0.25">
      <c r="A620" s="1" t="s">
        <v>38</v>
      </c>
      <c r="B620" t="s">
        <v>141</v>
      </c>
      <c r="C620" t="s">
        <v>173</v>
      </c>
      <c r="D620">
        <v>7.1428571428571425E-2</v>
      </c>
    </row>
    <row r="621" spans="1:4" x14ac:dyDescent="0.25">
      <c r="A621" s="1" t="s">
        <v>40</v>
      </c>
      <c r="B621" t="s">
        <v>142</v>
      </c>
      <c r="C621" t="s">
        <v>173</v>
      </c>
      <c r="D621">
        <v>7.5452515700393866E-2</v>
      </c>
    </row>
    <row r="622" spans="1:4" x14ac:dyDescent="0.25">
      <c r="A622" s="1" t="s">
        <v>42</v>
      </c>
      <c r="B622" t="s">
        <v>143</v>
      </c>
      <c r="C622" t="s">
        <v>173</v>
      </c>
      <c r="D622">
        <v>6.5410696747469604E-2</v>
      </c>
    </row>
    <row r="623" spans="1:4" x14ac:dyDescent="0.25">
      <c r="A623" s="1" t="s">
        <v>44</v>
      </c>
      <c r="B623" t="s">
        <v>144</v>
      </c>
      <c r="C623" t="s">
        <v>173</v>
      </c>
      <c r="D623">
        <v>3.602112915662975E-2</v>
      </c>
    </row>
    <row r="624" spans="1:4" x14ac:dyDescent="0.25">
      <c r="A624" s="1" t="s">
        <v>46</v>
      </c>
      <c r="B624" t="s">
        <v>145</v>
      </c>
      <c r="C624" t="s">
        <v>173</v>
      </c>
      <c r="D624">
        <v>7.9525419937033021E-2</v>
      </c>
    </row>
    <row r="625" spans="1:4" x14ac:dyDescent="0.25">
      <c r="A625" s="1" t="s">
        <v>48</v>
      </c>
      <c r="B625" t="s">
        <v>146</v>
      </c>
      <c r="C625" t="s">
        <v>173</v>
      </c>
      <c r="D625">
        <v>4.0604752103998186E-2</v>
      </c>
    </row>
    <row r="626" spans="1:4" x14ac:dyDescent="0.25">
      <c r="A626" s="1" t="s">
        <v>50</v>
      </c>
      <c r="B626" t="s">
        <v>147</v>
      </c>
      <c r="C626" t="s">
        <v>173</v>
      </c>
      <c r="D626">
        <v>7.2004669253708797E-2</v>
      </c>
    </row>
    <row r="627" spans="1:4" x14ac:dyDescent="0.25">
      <c r="A627" s="1" t="s">
        <v>52</v>
      </c>
      <c r="B627" t="s">
        <v>148</v>
      </c>
      <c r="C627" t="s">
        <v>173</v>
      </c>
      <c r="D627">
        <v>7.2006608217486487E-2</v>
      </c>
    </row>
    <row r="628" spans="1:4" x14ac:dyDescent="0.25">
      <c r="A628" s="1" t="s">
        <v>54</v>
      </c>
      <c r="B628" t="s">
        <v>149</v>
      </c>
      <c r="C628" t="s">
        <v>173</v>
      </c>
      <c r="D628">
        <v>4.8065026267802305E-2</v>
      </c>
    </row>
    <row r="629" spans="1:4" x14ac:dyDescent="0.25">
      <c r="A629" s="1" t="s">
        <v>56</v>
      </c>
      <c r="B629" t="s">
        <v>150</v>
      </c>
      <c r="C629" t="s">
        <v>173</v>
      </c>
      <c r="D629">
        <v>6.4041676359525929E-2</v>
      </c>
    </row>
    <row r="630" spans="1:4" x14ac:dyDescent="0.25">
      <c r="A630" s="1" t="s">
        <v>58</v>
      </c>
      <c r="B630" t="s">
        <v>151</v>
      </c>
      <c r="C630" t="s">
        <v>173</v>
      </c>
      <c r="D630">
        <v>5.1445717564284232E-2</v>
      </c>
    </row>
    <row r="631" spans="1:4" x14ac:dyDescent="0.25">
      <c r="A631" s="1" t="s">
        <v>0</v>
      </c>
      <c r="B631" t="s">
        <v>122</v>
      </c>
      <c r="C631" t="s">
        <v>174</v>
      </c>
      <c r="D631">
        <v>6.7090361923556954E-2</v>
      </c>
    </row>
    <row r="632" spans="1:4" x14ac:dyDescent="0.25">
      <c r="A632" s="1" t="s">
        <v>2</v>
      </c>
      <c r="B632" t="s">
        <v>123</v>
      </c>
      <c r="C632" t="s">
        <v>174</v>
      </c>
      <c r="D632">
        <v>5.2445378104730801E-2</v>
      </c>
    </row>
    <row r="633" spans="1:4" x14ac:dyDescent="0.25">
      <c r="A633" s="1" t="s">
        <v>4</v>
      </c>
      <c r="B633" t="s">
        <v>124</v>
      </c>
      <c r="C633" t="s">
        <v>174</v>
      </c>
      <c r="D633">
        <v>4.9447983494555613E-2</v>
      </c>
    </row>
    <row r="634" spans="1:4" x14ac:dyDescent="0.25">
      <c r="A634" s="1" t="s">
        <v>6</v>
      </c>
      <c r="B634" t="s">
        <v>125</v>
      </c>
      <c r="C634" t="s">
        <v>174</v>
      </c>
      <c r="D634">
        <v>4.9267998199040312E-2</v>
      </c>
    </row>
    <row r="635" spans="1:4" x14ac:dyDescent="0.25">
      <c r="A635" s="1" t="s">
        <v>8</v>
      </c>
      <c r="B635" t="s">
        <v>126</v>
      </c>
      <c r="C635" t="s">
        <v>174</v>
      </c>
      <c r="D635">
        <v>5.8137151404362861E-2</v>
      </c>
    </row>
    <row r="636" spans="1:4" x14ac:dyDescent="0.25">
      <c r="A636" s="1" t="s">
        <v>10</v>
      </c>
      <c r="B636" t="s">
        <v>127</v>
      </c>
      <c r="C636" t="s">
        <v>174</v>
      </c>
      <c r="D636">
        <v>5.1976884914927392E-2</v>
      </c>
    </row>
    <row r="637" spans="1:4" x14ac:dyDescent="0.25">
      <c r="A637" s="1" t="s">
        <v>12</v>
      </c>
      <c r="B637" t="s">
        <v>128</v>
      </c>
      <c r="C637" t="s">
        <v>174</v>
      </c>
      <c r="D637">
        <v>4.9224725447642989E-2</v>
      </c>
    </row>
    <row r="638" spans="1:4" x14ac:dyDescent="0.25">
      <c r="A638" s="1" t="s">
        <v>14</v>
      </c>
      <c r="B638" t="s">
        <v>129</v>
      </c>
      <c r="C638" t="s">
        <v>174</v>
      </c>
      <c r="D638">
        <v>5.518311442110066E-2</v>
      </c>
    </row>
    <row r="639" spans="1:4" x14ac:dyDescent="0.25">
      <c r="A639" s="1" t="s">
        <v>16</v>
      </c>
      <c r="B639" t="s">
        <v>130</v>
      </c>
      <c r="C639" t="s">
        <v>174</v>
      </c>
      <c r="D639">
        <v>5.0111404919168198E-2</v>
      </c>
    </row>
    <row r="640" spans="1:4" x14ac:dyDescent="0.25">
      <c r="A640" s="1" t="s">
        <v>18</v>
      </c>
      <c r="B640" t="s">
        <v>131</v>
      </c>
      <c r="C640" t="s">
        <v>174</v>
      </c>
      <c r="D640">
        <v>6.1660232034921804E-2</v>
      </c>
    </row>
    <row r="641" spans="1:4" x14ac:dyDescent="0.25">
      <c r="A641" s="1" t="s">
        <v>20</v>
      </c>
      <c r="B641" t="s">
        <v>132</v>
      </c>
      <c r="C641" t="s">
        <v>174</v>
      </c>
      <c r="D641">
        <v>5.6656434853254112E-2</v>
      </c>
    </row>
    <row r="642" spans="1:4" x14ac:dyDescent="0.25">
      <c r="A642" s="1" t="s">
        <v>22</v>
      </c>
      <c r="B642" t="s">
        <v>133</v>
      </c>
      <c r="C642" t="s">
        <v>174</v>
      </c>
      <c r="D642">
        <v>5.4135413263290445E-2</v>
      </c>
    </row>
    <row r="643" spans="1:4" x14ac:dyDescent="0.25">
      <c r="A643" s="1" t="s">
        <v>24</v>
      </c>
      <c r="B643" t="s">
        <v>134</v>
      </c>
      <c r="C643" t="s">
        <v>174</v>
      </c>
      <c r="D643">
        <v>6.0097132121407527E-2</v>
      </c>
    </row>
    <row r="644" spans="1:4" x14ac:dyDescent="0.25">
      <c r="A644" s="1" t="s">
        <v>26</v>
      </c>
      <c r="B644" t="s">
        <v>135</v>
      </c>
      <c r="C644" t="s">
        <v>174</v>
      </c>
      <c r="D644">
        <v>5.4620515177955249E-2</v>
      </c>
    </row>
    <row r="645" spans="1:4" x14ac:dyDescent="0.25">
      <c r="A645" s="1" t="s">
        <v>28</v>
      </c>
      <c r="B645" t="s">
        <v>136</v>
      </c>
      <c r="C645" t="s">
        <v>174</v>
      </c>
      <c r="D645">
        <v>5.8136386440403885E-2</v>
      </c>
    </row>
    <row r="646" spans="1:4" x14ac:dyDescent="0.25">
      <c r="A646" s="1" t="s">
        <v>30</v>
      </c>
      <c r="B646" t="s">
        <v>137</v>
      </c>
      <c r="C646" t="s">
        <v>174</v>
      </c>
      <c r="D646">
        <v>5.8778332322576829E-2</v>
      </c>
    </row>
    <row r="647" spans="1:4" x14ac:dyDescent="0.25">
      <c r="A647" s="1" t="s">
        <v>32</v>
      </c>
      <c r="B647" t="s">
        <v>138</v>
      </c>
      <c r="C647" t="s">
        <v>174</v>
      </c>
      <c r="D647">
        <v>6.0746243255041438E-2</v>
      </c>
    </row>
    <row r="648" spans="1:4" x14ac:dyDescent="0.25">
      <c r="A648" s="1" t="s">
        <v>34</v>
      </c>
      <c r="B648" t="s">
        <v>139</v>
      </c>
      <c r="C648" t="s">
        <v>174</v>
      </c>
      <c r="D648">
        <v>5.9333507332770596E-2</v>
      </c>
    </row>
    <row r="649" spans="1:4" x14ac:dyDescent="0.25">
      <c r="A649" s="1" t="s">
        <v>36</v>
      </c>
      <c r="B649" t="s">
        <v>140</v>
      </c>
      <c r="C649" t="s">
        <v>174</v>
      </c>
      <c r="D649">
        <v>5.5632950633190043E-2</v>
      </c>
    </row>
    <row r="650" spans="1:4" x14ac:dyDescent="0.25">
      <c r="A650" s="1" t="s">
        <v>38</v>
      </c>
      <c r="B650" t="s">
        <v>141</v>
      </c>
      <c r="C650" t="s">
        <v>174</v>
      </c>
      <c r="D650">
        <v>7.1428571428571425E-2</v>
      </c>
    </row>
    <row r="651" spans="1:4" x14ac:dyDescent="0.25">
      <c r="A651" s="1" t="s">
        <v>40</v>
      </c>
      <c r="B651" t="s">
        <v>142</v>
      </c>
      <c r="C651" t="s">
        <v>174</v>
      </c>
      <c r="D651">
        <v>7.5452515700393866E-2</v>
      </c>
    </row>
    <row r="652" spans="1:4" x14ac:dyDescent="0.25">
      <c r="A652" s="1" t="s">
        <v>42</v>
      </c>
      <c r="B652" t="s">
        <v>143</v>
      </c>
      <c r="C652" t="s">
        <v>174</v>
      </c>
      <c r="D652">
        <v>6.5410696747469604E-2</v>
      </c>
    </row>
    <row r="653" spans="1:4" x14ac:dyDescent="0.25">
      <c r="A653" s="1" t="s">
        <v>44</v>
      </c>
      <c r="B653" t="s">
        <v>144</v>
      </c>
      <c r="C653" t="s">
        <v>174</v>
      </c>
      <c r="D653">
        <v>3.602112915662975E-2</v>
      </c>
    </row>
    <row r="654" spans="1:4" x14ac:dyDescent="0.25">
      <c r="A654" s="1" t="s">
        <v>46</v>
      </c>
      <c r="B654" t="s">
        <v>145</v>
      </c>
      <c r="C654" t="s">
        <v>174</v>
      </c>
      <c r="D654">
        <v>7.9525419937033021E-2</v>
      </c>
    </row>
    <row r="655" spans="1:4" x14ac:dyDescent="0.25">
      <c r="A655" s="1" t="s">
        <v>48</v>
      </c>
      <c r="B655" t="s">
        <v>146</v>
      </c>
      <c r="C655" t="s">
        <v>174</v>
      </c>
      <c r="D655">
        <v>4.0604752103998186E-2</v>
      </c>
    </row>
    <row r="656" spans="1:4" x14ac:dyDescent="0.25">
      <c r="A656" s="1" t="s">
        <v>50</v>
      </c>
      <c r="B656" t="s">
        <v>147</v>
      </c>
      <c r="C656" t="s">
        <v>174</v>
      </c>
      <c r="D656">
        <v>7.2004669253708797E-2</v>
      </c>
    </row>
    <row r="657" spans="1:4" x14ac:dyDescent="0.25">
      <c r="A657" s="1" t="s">
        <v>52</v>
      </c>
      <c r="B657" t="s">
        <v>148</v>
      </c>
      <c r="C657" t="s">
        <v>174</v>
      </c>
      <c r="D657">
        <v>7.2006608217486487E-2</v>
      </c>
    </row>
    <row r="658" spans="1:4" x14ac:dyDescent="0.25">
      <c r="A658" s="1" t="s">
        <v>54</v>
      </c>
      <c r="B658" t="s">
        <v>149</v>
      </c>
      <c r="C658" t="s">
        <v>174</v>
      </c>
      <c r="D658">
        <v>4.8065026267802305E-2</v>
      </c>
    </row>
    <row r="659" spans="1:4" x14ac:dyDescent="0.25">
      <c r="A659" s="1" t="s">
        <v>56</v>
      </c>
      <c r="B659" t="s">
        <v>150</v>
      </c>
      <c r="C659" t="s">
        <v>174</v>
      </c>
      <c r="D659">
        <v>6.4041676359525929E-2</v>
      </c>
    </row>
    <row r="660" spans="1:4" x14ac:dyDescent="0.25">
      <c r="A660" s="1" t="s">
        <v>58</v>
      </c>
      <c r="B660" t="s">
        <v>151</v>
      </c>
      <c r="C660" t="s">
        <v>174</v>
      </c>
      <c r="D660">
        <v>5.1445717564284232E-2</v>
      </c>
    </row>
    <row r="661" spans="1:4" x14ac:dyDescent="0.25">
      <c r="A661" s="1" t="s">
        <v>0</v>
      </c>
      <c r="B661" t="s">
        <v>122</v>
      </c>
      <c r="C661" t="s">
        <v>175</v>
      </c>
      <c r="D661">
        <v>6.7090361923556954E-2</v>
      </c>
    </row>
    <row r="662" spans="1:4" x14ac:dyDescent="0.25">
      <c r="A662" s="1" t="s">
        <v>2</v>
      </c>
      <c r="B662" t="s">
        <v>123</v>
      </c>
      <c r="C662" t="s">
        <v>175</v>
      </c>
      <c r="D662">
        <v>5.2445378104730801E-2</v>
      </c>
    </row>
    <row r="663" spans="1:4" x14ac:dyDescent="0.25">
      <c r="A663" s="1" t="s">
        <v>4</v>
      </c>
      <c r="B663" t="s">
        <v>124</v>
      </c>
      <c r="C663" t="s">
        <v>175</v>
      </c>
      <c r="D663">
        <v>4.9447983494555613E-2</v>
      </c>
    </row>
    <row r="664" spans="1:4" x14ac:dyDescent="0.25">
      <c r="A664" s="1" t="s">
        <v>6</v>
      </c>
      <c r="B664" t="s">
        <v>125</v>
      </c>
      <c r="C664" t="s">
        <v>175</v>
      </c>
      <c r="D664">
        <v>4.9267998199040312E-2</v>
      </c>
    </row>
    <row r="665" spans="1:4" x14ac:dyDescent="0.25">
      <c r="A665" s="1" t="s">
        <v>8</v>
      </c>
      <c r="B665" t="s">
        <v>126</v>
      </c>
      <c r="C665" t="s">
        <v>175</v>
      </c>
      <c r="D665">
        <v>5.8137151404362861E-2</v>
      </c>
    </row>
    <row r="666" spans="1:4" x14ac:dyDescent="0.25">
      <c r="A666" s="1" t="s">
        <v>10</v>
      </c>
      <c r="B666" t="s">
        <v>127</v>
      </c>
      <c r="C666" t="s">
        <v>175</v>
      </c>
      <c r="D666">
        <v>5.1976884914927392E-2</v>
      </c>
    </row>
    <row r="667" spans="1:4" x14ac:dyDescent="0.25">
      <c r="A667" s="1" t="s">
        <v>12</v>
      </c>
      <c r="B667" t="s">
        <v>128</v>
      </c>
      <c r="C667" t="s">
        <v>175</v>
      </c>
      <c r="D667">
        <v>4.9224725447642989E-2</v>
      </c>
    </row>
    <row r="668" spans="1:4" x14ac:dyDescent="0.25">
      <c r="A668" s="1" t="s">
        <v>14</v>
      </c>
      <c r="B668" t="s">
        <v>129</v>
      </c>
      <c r="C668" t="s">
        <v>175</v>
      </c>
      <c r="D668">
        <v>5.518311442110066E-2</v>
      </c>
    </row>
    <row r="669" spans="1:4" x14ac:dyDescent="0.25">
      <c r="A669" s="1" t="s">
        <v>16</v>
      </c>
      <c r="B669" t="s">
        <v>130</v>
      </c>
      <c r="C669" t="s">
        <v>175</v>
      </c>
      <c r="D669">
        <v>5.0111404919168198E-2</v>
      </c>
    </row>
    <row r="670" spans="1:4" x14ac:dyDescent="0.25">
      <c r="A670" s="1" t="s">
        <v>18</v>
      </c>
      <c r="B670" t="s">
        <v>131</v>
      </c>
      <c r="C670" t="s">
        <v>175</v>
      </c>
      <c r="D670">
        <v>6.1660232034921804E-2</v>
      </c>
    </row>
    <row r="671" spans="1:4" x14ac:dyDescent="0.25">
      <c r="A671" s="1" t="s">
        <v>20</v>
      </c>
      <c r="B671" t="s">
        <v>132</v>
      </c>
      <c r="C671" t="s">
        <v>175</v>
      </c>
      <c r="D671">
        <v>5.6656434853254112E-2</v>
      </c>
    </row>
    <row r="672" spans="1:4" x14ac:dyDescent="0.25">
      <c r="A672" s="1" t="s">
        <v>22</v>
      </c>
      <c r="B672" t="s">
        <v>133</v>
      </c>
      <c r="C672" t="s">
        <v>175</v>
      </c>
      <c r="D672">
        <v>5.4135413263290445E-2</v>
      </c>
    </row>
    <row r="673" spans="1:4" x14ac:dyDescent="0.25">
      <c r="A673" s="1" t="s">
        <v>24</v>
      </c>
      <c r="B673" t="s">
        <v>134</v>
      </c>
      <c r="C673" t="s">
        <v>175</v>
      </c>
      <c r="D673">
        <v>6.0097132121407527E-2</v>
      </c>
    </row>
    <row r="674" spans="1:4" x14ac:dyDescent="0.25">
      <c r="A674" s="1" t="s">
        <v>26</v>
      </c>
      <c r="B674" t="s">
        <v>135</v>
      </c>
      <c r="C674" t="s">
        <v>175</v>
      </c>
      <c r="D674">
        <v>5.4620515177955249E-2</v>
      </c>
    </row>
    <row r="675" spans="1:4" x14ac:dyDescent="0.25">
      <c r="A675" s="1" t="s">
        <v>28</v>
      </c>
      <c r="B675" t="s">
        <v>136</v>
      </c>
      <c r="C675" t="s">
        <v>175</v>
      </c>
      <c r="D675">
        <v>5.8136386440403885E-2</v>
      </c>
    </row>
    <row r="676" spans="1:4" x14ac:dyDescent="0.25">
      <c r="A676" s="1" t="s">
        <v>30</v>
      </c>
      <c r="B676" t="s">
        <v>137</v>
      </c>
      <c r="C676" t="s">
        <v>175</v>
      </c>
      <c r="D676">
        <v>5.8778332322576829E-2</v>
      </c>
    </row>
    <row r="677" spans="1:4" x14ac:dyDescent="0.25">
      <c r="A677" s="1" t="s">
        <v>32</v>
      </c>
      <c r="B677" t="s">
        <v>138</v>
      </c>
      <c r="C677" t="s">
        <v>175</v>
      </c>
      <c r="D677">
        <v>6.0746243255041438E-2</v>
      </c>
    </row>
    <row r="678" spans="1:4" x14ac:dyDescent="0.25">
      <c r="A678" s="1" t="s">
        <v>34</v>
      </c>
      <c r="B678" t="s">
        <v>139</v>
      </c>
      <c r="C678" t="s">
        <v>175</v>
      </c>
      <c r="D678">
        <v>5.9333507332770596E-2</v>
      </c>
    </row>
    <row r="679" spans="1:4" x14ac:dyDescent="0.25">
      <c r="A679" s="1" t="s">
        <v>36</v>
      </c>
      <c r="B679" t="s">
        <v>140</v>
      </c>
      <c r="C679" t="s">
        <v>175</v>
      </c>
      <c r="D679">
        <v>5.5632950633190043E-2</v>
      </c>
    </row>
    <row r="680" spans="1:4" x14ac:dyDescent="0.25">
      <c r="A680" s="1" t="s">
        <v>38</v>
      </c>
      <c r="B680" t="s">
        <v>141</v>
      </c>
      <c r="C680" t="s">
        <v>175</v>
      </c>
      <c r="D680">
        <v>7.1428571428571425E-2</v>
      </c>
    </row>
    <row r="681" spans="1:4" x14ac:dyDescent="0.25">
      <c r="A681" s="1" t="s">
        <v>40</v>
      </c>
      <c r="B681" t="s">
        <v>142</v>
      </c>
      <c r="C681" t="s">
        <v>175</v>
      </c>
      <c r="D681">
        <v>7.5452515700393866E-2</v>
      </c>
    </row>
    <row r="682" spans="1:4" x14ac:dyDescent="0.25">
      <c r="A682" s="1" t="s">
        <v>42</v>
      </c>
      <c r="B682" t="s">
        <v>143</v>
      </c>
      <c r="C682" t="s">
        <v>175</v>
      </c>
      <c r="D682">
        <v>6.5410696747469604E-2</v>
      </c>
    </row>
    <row r="683" spans="1:4" x14ac:dyDescent="0.25">
      <c r="A683" s="1" t="s">
        <v>44</v>
      </c>
      <c r="B683" t="s">
        <v>144</v>
      </c>
      <c r="C683" t="s">
        <v>175</v>
      </c>
      <c r="D683">
        <v>3.602112915662975E-2</v>
      </c>
    </row>
    <row r="684" spans="1:4" x14ac:dyDescent="0.25">
      <c r="A684" s="1" t="s">
        <v>46</v>
      </c>
      <c r="B684" t="s">
        <v>145</v>
      </c>
      <c r="C684" t="s">
        <v>175</v>
      </c>
      <c r="D684">
        <v>7.9525419937033021E-2</v>
      </c>
    </row>
    <row r="685" spans="1:4" x14ac:dyDescent="0.25">
      <c r="A685" s="1" t="s">
        <v>48</v>
      </c>
      <c r="B685" t="s">
        <v>146</v>
      </c>
      <c r="C685" t="s">
        <v>175</v>
      </c>
      <c r="D685">
        <v>4.0604752103998186E-2</v>
      </c>
    </row>
    <row r="686" spans="1:4" x14ac:dyDescent="0.25">
      <c r="A686" s="1" t="s">
        <v>50</v>
      </c>
      <c r="B686" t="s">
        <v>147</v>
      </c>
      <c r="C686" t="s">
        <v>175</v>
      </c>
      <c r="D686">
        <v>7.2004669253708797E-2</v>
      </c>
    </row>
    <row r="687" spans="1:4" x14ac:dyDescent="0.25">
      <c r="A687" s="1" t="s">
        <v>52</v>
      </c>
      <c r="B687" t="s">
        <v>148</v>
      </c>
      <c r="C687" t="s">
        <v>175</v>
      </c>
      <c r="D687">
        <v>7.2006608217486487E-2</v>
      </c>
    </row>
    <row r="688" spans="1:4" x14ac:dyDescent="0.25">
      <c r="A688" s="1" t="s">
        <v>54</v>
      </c>
      <c r="B688" t="s">
        <v>149</v>
      </c>
      <c r="C688" t="s">
        <v>175</v>
      </c>
      <c r="D688">
        <v>4.8065026267802305E-2</v>
      </c>
    </row>
    <row r="689" spans="1:4" x14ac:dyDescent="0.25">
      <c r="A689" s="1" t="s">
        <v>56</v>
      </c>
      <c r="B689" t="s">
        <v>150</v>
      </c>
      <c r="C689" t="s">
        <v>175</v>
      </c>
      <c r="D689">
        <v>6.4041676359525929E-2</v>
      </c>
    </row>
    <row r="690" spans="1:4" x14ac:dyDescent="0.25">
      <c r="A690" s="1" t="s">
        <v>58</v>
      </c>
      <c r="B690" t="s">
        <v>151</v>
      </c>
      <c r="C690" t="s">
        <v>175</v>
      </c>
      <c r="D690">
        <v>5.1445717564284232E-2</v>
      </c>
    </row>
    <row r="691" spans="1:4" x14ac:dyDescent="0.25">
      <c r="A691" s="1" t="s">
        <v>0</v>
      </c>
      <c r="B691" t="s">
        <v>122</v>
      </c>
      <c r="C691" t="s">
        <v>176</v>
      </c>
      <c r="D691">
        <v>6.7090361923556954E-2</v>
      </c>
    </row>
    <row r="692" spans="1:4" x14ac:dyDescent="0.25">
      <c r="A692" s="1" t="s">
        <v>2</v>
      </c>
      <c r="B692" t="s">
        <v>123</v>
      </c>
      <c r="C692" t="s">
        <v>176</v>
      </c>
      <c r="D692">
        <v>5.2445378104730801E-2</v>
      </c>
    </row>
    <row r="693" spans="1:4" x14ac:dyDescent="0.25">
      <c r="A693" s="1" t="s">
        <v>4</v>
      </c>
      <c r="B693" t="s">
        <v>124</v>
      </c>
      <c r="C693" t="s">
        <v>176</v>
      </c>
      <c r="D693">
        <v>4.9447983494555613E-2</v>
      </c>
    </row>
    <row r="694" spans="1:4" x14ac:dyDescent="0.25">
      <c r="A694" s="1" t="s">
        <v>6</v>
      </c>
      <c r="B694" t="s">
        <v>125</v>
      </c>
      <c r="C694" t="s">
        <v>176</v>
      </c>
      <c r="D694">
        <v>4.9267998199040312E-2</v>
      </c>
    </row>
    <row r="695" spans="1:4" x14ac:dyDescent="0.25">
      <c r="A695" s="1" t="s">
        <v>8</v>
      </c>
      <c r="B695" t="s">
        <v>126</v>
      </c>
      <c r="C695" t="s">
        <v>176</v>
      </c>
      <c r="D695">
        <v>5.8137151404362861E-2</v>
      </c>
    </row>
    <row r="696" spans="1:4" x14ac:dyDescent="0.25">
      <c r="A696" s="1" t="s">
        <v>10</v>
      </c>
      <c r="B696" t="s">
        <v>127</v>
      </c>
      <c r="C696" t="s">
        <v>176</v>
      </c>
      <c r="D696">
        <v>5.1976884914927392E-2</v>
      </c>
    </row>
    <row r="697" spans="1:4" x14ac:dyDescent="0.25">
      <c r="A697" s="1" t="s">
        <v>12</v>
      </c>
      <c r="B697" t="s">
        <v>128</v>
      </c>
      <c r="C697" t="s">
        <v>176</v>
      </c>
      <c r="D697">
        <v>4.9224725447642989E-2</v>
      </c>
    </row>
    <row r="698" spans="1:4" x14ac:dyDescent="0.25">
      <c r="A698" s="1" t="s">
        <v>14</v>
      </c>
      <c r="B698" t="s">
        <v>129</v>
      </c>
      <c r="C698" t="s">
        <v>176</v>
      </c>
      <c r="D698">
        <v>5.518311442110066E-2</v>
      </c>
    </row>
    <row r="699" spans="1:4" x14ac:dyDescent="0.25">
      <c r="A699" s="1" t="s">
        <v>16</v>
      </c>
      <c r="B699" t="s">
        <v>130</v>
      </c>
      <c r="C699" t="s">
        <v>176</v>
      </c>
      <c r="D699">
        <v>5.0111404919168198E-2</v>
      </c>
    </row>
    <row r="700" spans="1:4" x14ac:dyDescent="0.25">
      <c r="A700" s="1" t="s">
        <v>18</v>
      </c>
      <c r="B700" t="s">
        <v>131</v>
      </c>
      <c r="C700" t="s">
        <v>176</v>
      </c>
      <c r="D700">
        <v>6.1660232034921804E-2</v>
      </c>
    </row>
    <row r="701" spans="1:4" x14ac:dyDescent="0.25">
      <c r="A701" s="1" t="s">
        <v>20</v>
      </c>
      <c r="B701" t="s">
        <v>132</v>
      </c>
      <c r="C701" t="s">
        <v>176</v>
      </c>
      <c r="D701">
        <v>5.6656434853254112E-2</v>
      </c>
    </row>
    <row r="702" spans="1:4" x14ac:dyDescent="0.25">
      <c r="A702" s="1" t="s">
        <v>22</v>
      </c>
      <c r="B702" t="s">
        <v>133</v>
      </c>
      <c r="C702" t="s">
        <v>176</v>
      </c>
      <c r="D702">
        <v>5.4135413263290445E-2</v>
      </c>
    </row>
    <row r="703" spans="1:4" x14ac:dyDescent="0.25">
      <c r="A703" s="1" t="s">
        <v>24</v>
      </c>
      <c r="B703" t="s">
        <v>134</v>
      </c>
      <c r="C703" t="s">
        <v>176</v>
      </c>
      <c r="D703">
        <v>6.0097132121407527E-2</v>
      </c>
    </row>
    <row r="704" spans="1:4" x14ac:dyDescent="0.25">
      <c r="A704" s="1" t="s">
        <v>26</v>
      </c>
      <c r="B704" t="s">
        <v>135</v>
      </c>
      <c r="C704" t="s">
        <v>176</v>
      </c>
      <c r="D704">
        <v>5.4620515177955249E-2</v>
      </c>
    </row>
    <row r="705" spans="1:4" x14ac:dyDescent="0.25">
      <c r="A705" s="1" t="s">
        <v>28</v>
      </c>
      <c r="B705" t="s">
        <v>136</v>
      </c>
      <c r="C705" t="s">
        <v>176</v>
      </c>
      <c r="D705">
        <v>5.8136386440403885E-2</v>
      </c>
    </row>
    <row r="706" spans="1:4" x14ac:dyDescent="0.25">
      <c r="A706" s="1" t="s">
        <v>30</v>
      </c>
      <c r="B706" t="s">
        <v>137</v>
      </c>
      <c r="C706" t="s">
        <v>176</v>
      </c>
      <c r="D706">
        <v>5.8778332322576829E-2</v>
      </c>
    </row>
    <row r="707" spans="1:4" x14ac:dyDescent="0.25">
      <c r="A707" s="1" t="s">
        <v>32</v>
      </c>
      <c r="B707" t="s">
        <v>138</v>
      </c>
      <c r="C707" t="s">
        <v>176</v>
      </c>
      <c r="D707">
        <v>6.0746243255041438E-2</v>
      </c>
    </row>
    <row r="708" spans="1:4" x14ac:dyDescent="0.25">
      <c r="A708" s="1" t="s">
        <v>34</v>
      </c>
      <c r="B708" t="s">
        <v>139</v>
      </c>
      <c r="C708" t="s">
        <v>176</v>
      </c>
      <c r="D708">
        <v>5.9333507332770596E-2</v>
      </c>
    </row>
    <row r="709" spans="1:4" x14ac:dyDescent="0.25">
      <c r="A709" s="1" t="s">
        <v>36</v>
      </c>
      <c r="B709" t="s">
        <v>140</v>
      </c>
      <c r="C709" t="s">
        <v>176</v>
      </c>
      <c r="D709">
        <v>5.5632950633190043E-2</v>
      </c>
    </row>
    <row r="710" spans="1:4" x14ac:dyDescent="0.25">
      <c r="A710" s="1" t="s">
        <v>38</v>
      </c>
      <c r="B710" t="s">
        <v>141</v>
      </c>
      <c r="C710" t="s">
        <v>176</v>
      </c>
      <c r="D710">
        <v>7.1428571428571425E-2</v>
      </c>
    </row>
    <row r="711" spans="1:4" x14ac:dyDescent="0.25">
      <c r="A711" s="1" t="s">
        <v>40</v>
      </c>
      <c r="B711" t="s">
        <v>142</v>
      </c>
      <c r="C711" t="s">
        <v>176</v>
      </c>
      <c r="D711">
        <v>7.5452515700393866E-2</v>
      </c>
    </row>
    <row r="712" spans="1:4" x14ac:dyDescent="0.25">
      <c r="A712" s="1" t="s">
        <v>42</v>
      </c>
      <c r="B712" t="s">
        <v>143</v>
      </c>
      <c r="C712" t="s">
        <v>176</v>
      </c>
      <c r="D712">
        <v>6.5410696747469604E-2</v>
      </c>
    </row>
    <row r="713" spans="1:4" x14ac:dyDescent="0.25">
      <c r="A713" s="1" t="s">
        <v>44</v>
      </c>
      <c r="B713" t="s">
        <v>144</v>
      </c>
      <c r="C713" t="s">
        <v>176</v>
      </c>
      <c r="D713">
        <v>3.602112915662975E-2</v>
      </c>
    </row>
    <row r="714" spans="1:4" x14ac:dyDescent="0.25">
      <c r="A714" s="1" t="s">
        <v>46</v>
      </c>
      <c r="B714" t="s">
        <v>145</v>
      </c>
      <c r="C714" t="s">
        <v>176</v>
      </c>
      <c r="D714">
        <v>7.9525419937033021E-2</v>
      </c>
    </row>
    <row r="715" spans="1:4" x14ac:dyDescent="0.25">
      <c r="A715" s="1" t="s">
        <v>48</v>
      </c>
      <c r="B715" t="s">
        <v>146</v>
      </c>
      <c r="C715" t="s">
        <v>176</v>
      </c>
      <c r="D715">
        <v>4.0604752103998186E-2</v>
      </c>
    </row>
    <row r="716" spans="1:4" x14ac:dyDescent="0.25">
      <c r="A716" s="1" t="s">
        <v>50</v>
      </c>
      <c r="B716" t="s">
        <v>147</v>
      </c>
      <c r="C716" t="s">
        <v>176</v>
      </c>
      <c r="D716">
        <v>7.2004669253708797E-2</v>
      </c>
    </row>
    <row r="717" spans="1:4" x14ac:dyDescent="0.25">
      <c r="A717" s="1" t="s">
        <v>52</v>
      </c>
      <c r="B717" t="s">
        <v>148</v>
      </c>
      <c r="C717" t="s">
        <v>176</v>
      </c>
      <c r="D717">
        <v>7.2006608217486487E-2</v>
      </c>
    </row>
    <row r="718" spans="1:4" x14ac:dyDescent="0.25">
      <c r="A718" s="1" t="s">
        <v>54</v>
      </c>
      <c r="B718" t="s">
        <v>149</v>
      </c>
      <c r="C718" t="s">
        <v>176</v>
      </c>
      <c r="D718">
        <v>4.8065026267802305E-2</v>
      </c>
    </row>
    <row r="719" spans="1:4" x14ac:dyDescent="0.25">
      <c r="A719" s="1" t="s">
        <v>56</v>
      </c>
      <c r="B719" t="s">
        <v>150</v>
      </c>
      <c r="C719" t="s">
        <v>176</v>
      </c>
      <c r="D719">
        <v>6.4041676359525929E-2</v>
      </c>
    </row>
    <row r="720" spans="1:4" x14ac:dyDescent="0.25">
      <c r="A720" s="1" t="s">
        <v>58</v>
      </c>
      <c r="B720" t="s">
        <v>151</v>
      </c>
      <c r="C720" t="s">
        <v>176</v>
      </c>
      <c r="D720">
        <v>5.1445717564284232E-2</v>
      </c>
    </row>
    <row r="721" spans="1:4" x14ac:dyDescent="0.25">
      <c r="A721" s="1" t="s">
        <v>0</v>
      </c>
      <c r="B721" t="s">
        <v>122</v>
      </c>
      <c r="C721" t="s">
        <v>177</v>
      </c>
      <c r="D721">
        <v>6.7090361923556954E-2</v>
      </c>
    </row>
    <row r="722" spans="1:4" x14ac:dyDescent="0.25">
      <c r="A722" s="1" t="s">
        <v>2</v>
      </c>
      <c r="B722" t="s">
        <v>123</v>
      </c>
      <c r="C722" t="s">
        <v>177</v>
      </c>
      <c r="D722">
        <v>5.2445378104730801E-2</v>
      </c>
    </row>
    <row r="723" spans="1:4" x14ac:dyDescent="0.25">
      <c r="A723" s="1" t="s">
        <v>4</v>
      </c>
      <c r="B723" t="s">
        <v>124</v>
      </c>
      <c r="C723" t="s">
        <v>177</v>
      </c>
      <c r="D723">
        <v>4.9447983494555613E-2</v>
      </c>
    </row>
    <row r="724" spans="1:4" x14ac:dyDescent="0.25">
      <c r="A724" s="1" t="s">
        <v>6</v>
      </c>
      <c r="B724" t="s">
        <v>125</v>
      </c>
      <c r="C724" t="s">
        <v>177</v>
      </c>
      <c r="D724">
        <v>4.9267998199040312E-2</v>
      </c>
    </row>
    <row r="725" spans="1:4" x14ac:dyDescent="0.25">
      <c r="A725" s="1" t="s">
        <v>8</v>
      </c>
      <c r="B725" t="s">
        <v>126</v>
      </c>
      <c r="C725" t="s">
        <v>177</v>
      </c>
      <c r="D725">
        <v>5.8137151404362861E-2</v>
      </c>
    </row>
    <row r="726" spans="1:4" x14ac:dyDescent="0.25">
      <c r="A726" s="1" t="s">
        <v>10</v>
      </c>
      <c r="B726" t="s">
        <v>127</v>
      </c>
      <c r="C726" t="s">
        <v>177</v>
      </c>
      <c r="D726">
        <v>5.1976884914927392E-2</v>
      </c>
    </row>
    <row r="727" spans="1:4" x14ac:dyDescent="0.25">
      <c r="A727" s="1" t="s">
        <v>12</v>
      </c>
      <c r="B727" t="s">
        <v>128</v>
      </c>
      <c r="C727" t="s">
        <v>177</v>
      </c>
      <c r="D727">
        <v>4.9224725447642989E-2</v>
      </c>
    </row>
    <row r="728" spans="1:4" x14ac:dyDescent="0.25">
      <c r="A728" s="1" t="s">
        <v>14</v>
      </c>
      <c r="B728" t="s">
        <v>129</v>
      </c>
      <c r="C728" t="s">
        <v>177</v>
      </c>
      <c r="D728">
        <v>5.518311442110066E-2</v>
      </c>
    </row>
    <row r="729" spans="1:4" x14ac:dyDescent="0.25">
      <c r="A729" s="1" t="s">
        <v>16</v>
      </c>
      <c r="B729" t="s">
        <v>130</v>
      </c>
      <c r="C729" t="s">
        <v>177</v>
      </c>
      <c r="D729">
        <v>5.0111404919168198E-2</v>
      </c>
    </row>
    <row r="730" spans="1:4" x14ac:dyDescent="0.25">
      <c r="A730" s="1" t="s">
        <v>18</v>
      </c>
      <c r="B730" t="s">
        <v>131</v>
      </c>
      <c r="C730" t="s">
        <v>177</v>
      </c>
      <c r="D730">
        <v>6.1660232034921804E-2</v>
      </c>
    </row>
    <row r="731" spans="1:4" x14ac:dyDescent="0.25">
      <c r="A731" s="1" t="s">
        <v>20</v>
      </c>
      <c r="B731" t="s">
        <v>132</v>
      </c>
      <c r="C731" t="s">
        <v>177</v>
      </c>
      <c r="D731">
        <v>5.6656434853254112E-2</v>
      </c>
    </row>
    <row r="732" spans="1:4" x14ac:dyDescent="0.25">
      <c r="A732" s="1" t="s">
        <v>22</v>
      </c>
      <c r="B732" t="s">
        <v>133</v>
      </c>
      <c r="C732" t="s">
        <v>177</v>
      </c>
      <c r="D732">
        <v>5.4135413263290445E-2</v>
      </c>
    </row>
    <row r="733" spans="1:4" x14ac:dyDescent="0.25">
      <c r="A733" s="1" t="s">
        <v>24</v>
      </c>
      <c r="B733" t="s">
        <v>134</v>
      </c>
      <c r="C733" t="s">
        <v>177</v>
      </c>
      <c r="D733">
        <v>6.0097132121407527E-2</v>
      </c>
    </row>
    <row r="734" spans="1:4" x14ac:dyDescent="0.25">
      <c r="A734" s="1" t="s">
        <v>26</v>
      </c>
      <c r="B734" t="s">
        <v>135</v>
      </c>
      <c r="C734" t="s">
        <v>177</v>
      </c>
      <c r="D734">
        <v>5.4620515177955249E-2</v>
      </c>
    </row>
    <row r="735" spans="1:4" x14ac:dyDescent="0.25">
      <c r="A735" s="1" t="s">
        <v>28</v>
      </c>
      <c r="B735" t="s">
        <v>136</v>
      </c>
      <c r="C735" t="s">
        <v>177</v>
      </c>
      <c r="D735">
        <v>5.8136386440403885E-2</v>
      </c>
    </row>
    <row r="736" spans="1:4" x14ac:dyDescent="0.25">
      <c r="A736" s="1" t="s">
        <v>30</v>
      </c>
      <c r="B736" t="s">
        <v>137</v>
      </c>
      <c r="C736" t="s">
        <v>177</v>
      </c>
      <c r="D736">
        <v>5.8778332322576829E-2</v>
      </c>
    </row>
    <row r="737" spans="1:4" x14ac:dyDescent="0.25">
      <c r="A737" s="1" t="s">
        <v>32</v>
      </c>
      <c r="B737" t="s">
        <v>138</v>
      </c>
      <c r="C737" t="s">
        <v>177</v>
      </c>
      <c r="D737">
        <v>6.0746243255041438E-2</v>
      </c>
    </row>
    <row r="738" spans="1:4" x14ac:dyDescent="0.25">
      <c r="A738" s="1" t="s">
        <v>34</v>
      </c>
      <c r="B738" t="s">
        <v>139</v>
      </c>
      <c r="C738" t="s">
        <v>177</v>
      </c>
      <c r="D738">
        <v>5.9333507332770596E-2</v>
      </c>
    </row>
    <row r="739" spans="1:4" x14ac:dyDescent="0.25">
      <c r="A739" s="1" t="s">
        <v>36</v>
      </c>
      <c r="B739" t="s">
        <v>140</v>
      </c>
      <c r="C739" t="s">
        <v>177</v>
      </c>
      <c r="D739">
        <v>5.5632950633190043E-2</v>
      </c>
    </row>
    <row r="740" spans="1:4" x14ac:dyDescent="0.25">
      <c r="A740" s="1" t="s">
        <v>38</v>
      </c>
      <c r="B740" t="s">
        <v>141</v>
      </c>
      <c r="C740" t="s">
        <v>177</v>
      </c>
      <c r="D740">
        <v>7.1428571428571425E-2</v>
      </c>
    </row>
    <row r="741" spans="1:4" x14ac:dyDescent="0.25">
      <c r="A741" s="1" t="s">
        <v>40</v>
      </c>
      <c r="B741" t="s">
        <v>142</v>
      </c>
      <c r="C741" t="s">
        <v>177</v>
      </c>
      <c r="D741">
        <v>7.5452515700393866E-2</v>
      </c>
    </row>
    <row r="742" spans="1:4" x14ac:dyDescent="0.25">
      <c r="A742" s="1" t="s">
        <v>42</v>
      </c>
      <c r="B742" t="s">
        <v>143</v>
      </c>
      <c r="C742" t="s">
        <v>177</v>
      </c>
      <c r="D742">
        <v>6.5410696747469604E-2</v>
      </c>
    </row>
    <row r="743" spans="1:4" x14ac:dyDescent="0.25">
      <c r="A743" s="1" t="s">
        <v>44</v>
      </c>
      <c r="B743" t="s">
        <v>144</v>
      </c>
      <c r="C743" t="s">
        <v>177</v>
      </c>
      <c r="D743">
        <v>3.602112915662975E-2</v>
      </c>
    </row>
    <row r="744" spans="1:4" x14ac:dyDescent="0.25">
      <c r="A744" s="1" t="s">
        <v>46</v>
      </c>
      <c r="B744" t="s">
        <v>145</v>
      </c>
      <c r="C744" t="s">
        <v>177</v>
      </c>
      <c r="D744">
        <v>7.9525419937033021E-2</v>
      </c>
    </row>
    <row r="745" spans="1:4" x14ac:dyDescent="0.25">
      <c r="A745" s="1" t="s">
        <v>48</v>
      </c>
      <c r="B745" t="s">
        <v>146</v>
      </c>
      <c r="C745" t="s">
        <v>177</v>
      </c>
      <c r="D745">
        <v>4.0604752103998186E-2</v>
      </c>
    </row>
    <row r="746" spans="1:4" x14ac:dyDescent="0.25">
      <c r="A746" s="1" t="s">
        <v>50</v>
      </c>
      <c r="B746" t="s">
        <v>147</v>
      </c>
      <c r="C746" t="s">
        <v>177</v>
      </c>
      <c r="D746">
        <v>7.2004669253708797E-2</v>
      </c>
    </row>
    <row r="747" spans="1:4" x14ac:dyDescent="0.25">
      <c r="A747" s="1" t="s">
        <v>52</v>
      </c>
      <c r="B747" t="s">
        <v>148</v>
      </c>
      <c r="C747" t="s">
        <v>177</v>
      </c>
      <c r="D747">
        <v>7.2006608217486487E-2</v>
      </c>
    </row>
    <row r="748" spans="1:4" x14ac:dyDescent="0.25">
      <c r="A748" s="1" t="s">
        <v>54</v>
      </c>
      <c r="B748" t="s">
        <v>149</v>
      </c>
      <c r="C748" t="s">
        <v>177</v>
      </c>
      <c r="D748">
        <v>4.8065026267802305E-2</v>
      </c>
    </row>
    <row r="749" spans="1:4" x14ac:dyDescent="0.25">
      <c r="A749" s="1" t="s">
        <v>56</v>
      </c>
      <c r="B749" t="s">
        <v>150</v>
      </c>
      <c r="C749" t="s">
        <v>177</v>
      </c>
      <c r="D749">
        <v>6.4041676359525929E-2</v>
      </c>
    </row>
    <row r="750" spans="1:4" x14ac:dyDescent="0.25">
      <c r="A750" s="1" t="s">
        <v>58</v>
      </c>
      <c r="B750" t="s">
        <v>151</v>
      </c>
      <c r="C750" t="s">
        <v>177</v>
      </c>
      <c r="D750">
        <v>5.1445717564284232E-2</v>
      </c>
    </row>
    <row r="751" spans="1:4" x14ac:dyDescent="0.25">
      <c r="A751" s="1" t="s">
        <v>0</v>
      </c>
      <c r="B751" t="s">
        <v>122</v>
      </c>
      <c r="C751" t="s">
        <v>153</v>
      </c>
      <c r="D751">
        <v>6.7090361923556954E-2</v>
      </c>
    </row>
    <row r="752" spans="1:4" x14ac:dyDescent="0.25">
      <c r="A752" s="1" t="s">
        <v>2</v>
      </c>
      <c r="B752" t="s">
        <v>123</v>
      </c>
      <c r="C752" t="s">
        <v>153</v>
      </c>
      <c r="D752">
        <v>5.2445378104730801E-2</v>
      </c>
    </row>
    <row r="753" spans="1:4" x14ac:dyDescent="0.25">
      <c r="A753" s="1" t="s">
        <v>4</v>
      </c>
      <c r="B753" t="s">
        <v>124</v>
      </c>
      <c r="C753" t="s">
        <v>153</v>
      </c>
      <c r="D753">
        <v>4.9447983494555613E-2</v>
      </c>
    </row>
    <row r="754" spans="1:4" x14ac:dyDescent="0.25">
      <c r="A754" s="1" t="s">
        <v>6</v>
      </c>
      <c r="B754" t="s">
        <v>125</v>
      </c>
      <c r="C754" t="s">
        <v>153</v>
      </c>
      <c r="D754">
        <v>4.9267998199040312E-2</v>
      </c>
    </row>
    <row r="755" spans="1:4" x14ac:dyDescent="0.25">
      <c r="A755" s="1" t="s">
        <v>8</v>
      </c>
      <c r="B755" t="s">
        <v>126</v>
      </c>
      <c r="C755" t="s">
        <v>153</v>
      </c>
      <c r="D755">
        <v>5.8137151404362861E-2</v>
      </c>
    </row>
    <row r="756" spans="1:4" x14ac:dyDescent="0.25">
      <c r="A756" s="1" t="s">
        <v>10</v>
      </c>
      <c r="B756" t="s">
        <v>127</v>
      </c>
      <c r="C756" t="s">
        <v>153</v>
      </c>
      <c r="D756">
        <v>5.1976884914927392E-2</v>
      </c>
    </row>
    <row r="757" spans="1:4" x14ac:dyDescent="0.25">
      <c r="A757" s="1" t="s">
        <v>12</v>
      </c>
      <c r="B757" t="s">
        <v>128</v>
      </c>
      <c r="C757" t="s">
        <v>153</v>
      </c>
      <c r="D757">
        <v>4.9224725447642989E-2</v>
      </c>
    </row>
    <row r="758" spans="1:4" x14ac:dyDescent="0.25">
      <c r="A758" s="1" t="s">
        <v>14</v>
      </c>
      <c r="B758" t="s">
        <v>129</v>
      </c>
      <c r="C758" t="s">
        <v>153</v>
      </c>
      <c r="D758">
        <v>5.518311442110066E-2</v>
      </c>
    </row>
    <row r="759" spans="1:4" x14ac:dyDescent="0.25">
      <c r="A759" s="1" t="s">
        <v>16</v>
      </c>
      <c r="B759" t="s">
        <v>130</v>
      </c>
      <c r="C759" t="s">
        <v>153</v>
      </c>
      <c r="D759">
        <v>5.0111404919168198E-2</v>
      </c>
    </row>
    <row r="760" spans="1:4" x14ac:dyDescent="0.25">
      <c r="A760" s="1" t="s">
        <v>18</v>
      </c>
      <c r="B760" t="s">
        <v>131</v>
      </c>
      <c r="C760" t="s">
        <v>153</v>
      </c>
      <c r="D760">
        <v>6.1660232034921804E-2</v>
      </c>
    </row>
    <row r="761" spans="1:4" x14ac:dyDescent="0.25">
      <c r="A761" s="1" t="s">
        <v>20</v>
      </c>
      <c r="B761" t="s">
        <v>132</v>
      </c>
      <c r="C761" t="s">
        <v>153</v>
      </c>
      <c r="D761">
        <v>5.6656434853254112E-2</v>
      </c>
    </row>
    <row r="762" spans="1:4" x14ac:dyDescent="0.25">
      <c r="A762" s="1" t="s">
        <v>22</v>
      </c>
      <c r="B762" t="s">
        <v>133</v>
      </c>
      <c r="C762" t="s">
        <v>153</v>
      </c>
      <c r="D762">
        <v>5.4135413263290445E-2</v>
      </c>
    </row>
    <row r="763" spans="1:4" x14ac:dyDescent="0.25">
      <c r="A763" s="1" t="s">
        <v>24</v>
      </c>
      <c r="B763" t="s">
        <v>134</v>
      </c>
      <c r="C763" t="s">
        <v>153</v>
      </c>
      <c r="D763">
        <v>6.0097132121407527E-2</v>
      </c>
    </row>
    <row r="764" spans="1:4" x14ac:dyDescent="0.25">
      <c r="A764" s="1" t="s">
        <v>26</v>
      </c>
      <c r="B764" t="s">
        <v>135</v>
      </c>
      <c r="C764" t="s">
        <v>153</v>
      </c>
      <c r="D764">
        <v>5.4620515177955249E-2</v>
      </c>
    </row>
    <row r="765" spans="1:4" x14ac:dyDescent="0.25">
      <c r="A765" s="1" t="s">
        <v>28</v>
      </c>
      <c r="B765" t="s">
        <v>136</v>
      </c>
      <c r="C765" t="s">
        <v>153</v>
      </c>
      <c r="D765">
        <v>5.8136386440403885E-2</v>
      </c>
    </row>
    <row r="766" spans="1:4" x14ac:dyDescent="0.25">
      <c r="A766" s="1" t="s">
        <v>30</v>
      </c>
      <c r="B766" t="s">
        <v>137</v>
      </c>
      <c r="C766" t="s">
        <v>153</v>
      </c>
      <c r="D766">
        <v>5.8778332322576829E-2</v>
      </c>
    </row>
    <row r="767" spans="1:4" x14ac:dyDescent="0.25">
      <c r="A767" s="1" t="s">
        <v>32</v>
      </c>
      <c r="B767" t="s">
        <v>138</v>
      </c>
      <c r="C767" t="s">
        <v>153</v>
      </c>
      <c r="D767">
        <v>6.0746243255041438E-2</v>
      </c>
    </row>
    <row r="768" spans="1:4" x14ac:dyDescent="0.25">
      <c r="A768" s="1" t="s">
        <v>34</v>
      </c>
      <c r="B768" t="s">
        <v>139</v>
      </c>
      <c r="C768" t="s">
        <v>153</v>
      </c>
      <c r="D768">
        <v>5.9333507332770596E-2</v>
      </c>
    </row>
    <row r="769" spans="1:4" x14ac:dyDescent="0.25">
      <c r="A769" s="1" t="s">
        <v>36</v>
      </c>
      <c r="B769" t="s">
        <v>140</v>
      </c>
      <c r="C769" t="s">
        <v>153</v>
      </c>
      <c r="D769">
        <v>5.5632950633190043E-2</v>
      </c>
    </row>
    <row r="770" spans="1:4" x14ac:dyDescent="0.25">
      <c r="A770" s="1" t="s">
        <v>38</v>
      </c>
      <c r="B770" t="s">
        <v>141</v>
      </c>
      <c r="C770" t="s">
        <v>153</v>
      </c>
      <c r="D770">
        <v>7.1428571428571425E-2</v>
      </c>
    </row>
    <row r="771" spans="1:4" x14ac:dyDescent="0.25">
      <c r="A771" s="1" t="s">
        <v>40</v>
      </c>
      <c r="B771" t="s">
        <v>142</v>
      </c>
      <c r="C771" t="s">
        <v>153</v>
      </c>
      <c r="D771">
        <v>7.5452515700393866E-2</v>
      </c>
    </row>
    <row r="772" spans="1:4" x14ac:dyDescent="0.25">
      <c r="A772" s="1" t="s">
        <v>42</v>
      </c>
      <c r="B772" t="s">
        <v>143</v>
      </c>
      <c r="C772" t="s">
        <v>153</v>
      </c>
      <c r="D772">
        <v>6.5410696747469604E-2</v>
      </c>
    </row>
    <row r="773" spans="1:4" x14ac:dyDescent="0.25">
      <c r="A773" s="1" t="s">
        <v>44</v>
      </c>
      <c r="B773" t="s">
        <v>144</v>
      </c>
      <c r="C773" t="s">
        <v>153</v>
      </c>
      <c r="D773">
        <v>3.602112915662975E-2</v>
      </c>
    </row>
    <row r="774" spans="1:4" x14ac:dyDescent="0.25">
      <c r="A774" s="1" t="s">
        <v>46</v>
      </c>
      <c r="B774" t="s">
        <v>145</v>
      </c>
      <c r="C774" t="s">
        <v>153</v>
      </c>
      <c r="D774">
        <v>7.9525419937033021E-2</v>
      </c>
    </row>
    <row r="775" spans="1:4" x14ac:dyDescent="0.25">
      <c r="A775" s="1" t="s">
        <v>48</v>
      </c>
      <c r="B775" t="s">
        <v>146</v>
      </c>
      <c r="C775" t="s">
        <v>153</v>
      </c>
      <c r="D775">
        <v>4.0604752103998186E-2</v>
      </c>
    </row>
    <row r="776" spans="1:4" x14ac:dyDescent="0.25">
      <c r="A776" s="1" t="s">
        <v>50</v>
      </c>
      <c r="B776" t="s">
        <v>147</v>
      </c>
      <c r="C776" t="s">
        <v>153</v>
      </c>
      <c r="D776">
        <v>7.2004669253708797E-2</v>
      </c>
    </row>
    <row r="777" spans="1:4" x14ac:dyDescent="0.25">
      <c r="A777" s="1" t="s">
        <v>52</v>
      </c>
      <c r="B777" t="s">
        <v>148</v>
      </c>
      <c r="C777" t="s">
        <v>153</v>
      </c>
      <c r="D777">
        <v>7.2006608217486487E-2</v>
      </c>
    </row>
    <row r="778" spans="1:4" x14ac:dyDescent="0.25">
      <c r="A778" s="1" t="s">
        <v>54</v>
      </c>
      <c r="B778" t="s">
        <v>149</v>
      </c>
      <c r="C778" t="s">
        <v>153</v>
      </c>
      <c r="D778">
        <v>4.8065026267802305E-2</v>
      </c>
    </row>
    <row r="779" spans="1:4" x14ac:dyDescent="0.25">
      <c r="A779" s="1" t="s">
        <v>56</v>
      </c>
      <c r="B779" t="s">
        <v>150</v>
      </c>
      <c r="C779" t="s">
        <v>153</v>
      </c>
      <c r="D779">
        <v>6.4041676359525929E-2</v>
      </c>
    </row>
    <row r="780" spans="1:4" x14ac:dyDescent="0.25">
      <c r="A780" s="1" t="s">
        <v>58</v>
      </c>
      <c r="B780" t="s">
        <v>151</v>
      </c>
      <c r="C780" t="s">
        <v>153</v>
      </c>
      <c r="D780">
        <v>5.1445717564284232E-2</v>
      </c>
    </row>
    <row r="781" spans="1:4" x14ac:dyDescent="0.25">
      <c r="A781" s="1" t="s">
        <v>0</v>
      </c>
      <c r="B781" t="s">
        <v>122</v>
      </c>
      <c r="C781" t="s">
        <v>178</v>
      </c>
      <c r="D781">
        <v>6.7090361923556954E-2</v>
      </c>
    </row>
    <row r="782" spans="1:4" x14ac:dyDescent="0.25">
      <c r="A782" s="1" t="s">
        <v>2</v>
      </c>
      <c r="B782" t="s">
        <v>123</v>
      </c>
      <c r="C782" t="s">
        <v>178</v>
      </c>
      <c r="D782">
        <v>5.2445378104730801E-2</v>
      </c>
    </row>
    <row r="783" spans="1:4" x14ac:dyDescent="0.25">
      <c r="A783" s="1" t="s">
        <v>4</v>
      </c>
      <c r="B783" t="s">
        <v>124</v>
      </c>
      <c r="C783" t="s">
        <v>178</v>
      </c>
      <c r="D783">
        <v>4.9447983494555613E-2</v>
      </c>
    </row>
    <row r="784" spans="1:4" x14ac:dyDescent="0.25">
      <c r="A784" s="1" t="s">
        <v>6</v>
      </c>
      <c r="B784" t="s">
        <v>125</v>
      </c>
      <c r="C784" t="s">
        <v>178</v>
      </c>
      <c r="D784">
        <v>4.9267998199040312E-2</v>
      </c>
    </row>
    <row r="785" spans="1:4" x14ac:dyDescent="0.25">
      <c r="A785" s="1" t="s">
        <v>8</v>
      </c>
      <c r="B785" t="s">
        <v>126</v>
      </c>
      <c r="C785" t="s">
        <v>178</v>
      </c>
      <c r="D785">
        <v>5.8137151404362861E-2</v>
      </c>
    </row>
    <row r="786" spans="1:4" x14ac:dyDescent="0.25">
      <c r="A786" s="1" t="s">
        <v>10</v>
      </c>
      <c r="B786" t="s">
        <v>127</v>
      </c>
      <c r="C786" t="s">
        <v>178</v>
      </c>
      <c r="D786">
        <v>5.1976884914927392E-2</v>
      </c>
    </row>
    <row r="787" spans="1:4" x14ac:dyDescent="0.25">
      <c r="A787" s="1" t="s">
        <v>12</v>
      </c>
      <c r="B787" t="s">
        <v>128</v>
      </c>
      <c r="C787" t="s">
        <v>178</v>
      </c>
      <c r="D787">
        <v>4.9224725447642989E-2</v>
      </c>
    </row>
    <row r="788" spans="1:4" x14ac:dyDescent="0.25">
      <c r="A788" s="1" t="s">
        <v>14</v>
      </c>
      <c r="B788" t="s">
        <v>129</v>
      </c>
      <c r="C788" t="s">
        <v>178</v>
      </c>
      <c r="D788">
        <v>5.518311442110066E-2</v>
      </c>
    </row>
    <row r="789" spans="1:4" x14ac:dyDescent="0.25">
      <c r="A789" s="1" t="s">
        <v>16</v>
      </c>
      <c r="B789" t="s">
        <v>130</v>
      </c>
      <c r="C789" t="s">
        <v>178</v>
      </c>
      <c r="D789">
        <v>5.0111404919168198E-2</v>
      </c>
    </row>
    <row r="790" spans="1:4" x14ac:dyDescent="0.25">
      <c r="A790" s="1" t="s">
        <v>18</v>
      </c>
      <c r="B790" t="s">
        <v>131</v>
      </c>
      <c r="C790" t="s">
        <v>178</v>
      </c>
      <c r="D790">
        <v>6.1660232034921804E-2</v>
      </c>
    </row>
    <row r="791" spans="1:4" x14ac:dyDescent="0.25">
      <c r="A791" s="1" t="s">
        <v>20</v>
      </c>
      <c r="B791" t="s">
        <v>132</v>
      </c>
      <c r="C791" t="s">
        <v>178</v>
      </c>
      <c r="D791">
        <v>5.6656434853254112E-2</v>
      </c>
    </row>
    <row r="792" spans="1:4" x14ac:dyDescent="0.25">
      <c r="A792" s="1" t="s">
        <v>22</v>
      </c>
      <c r="B792" t="s">
        <v>133</v>
      </c>
      <c r="C792" t="s">
        <v>178</v>
      </c>
      <c r="D792">
        <v>5.4135413263290445E-2</v>
      </c>
    </row>
    <row r="793" spans="1:4" x14ac:dyDescent="0.25">
      <c r="A793" s="1" t="s">
        <v>24</v>
      </c>
      <c r="B793" t="s">
        <v>134</v>
      </c>
      <c r="C793" t="s">
        <v>178</v>
      </c>
      <c r="D793">
        <v>6.0097132121407527E-2</v>
      </c>
    </row>
    <row r="794" spans="1:4" x14ac:dyDescent="0.25">
      <c r="A794" s="1" t="s">
        <v>26</v>
      </c>
      <c r="B794" t="s">
        <v>135</v>
      </c>
      <c r="C794" t="s">
        <v>178</v>
      </c>
      <c r="D794">
        <v>5.4620515177955249E-2</v>
      </c>
    </row>
    <row r="795" spans="1:4" x14ac:dyDescent="0.25">
      <c r="A795" s="1" t="s">
        <v>28</v>
      </c>
      <c r="B795" t="s">
        <v>136</v>
      </c>
      <c r="C795" t="s">
        <v>178</v>
      </c>
      <c r="D795">
        <v>5.8136386440403885E-2</v>
      </c>
    </row>
    <row r="796" spans="1:4" x14ac:dyDescent="0.25">
      <c r="A796" s="1" t="s">
        <v>30</v>
      </c>
      <c r="B796" t="s">
        <v>137</v>
      </c>
      <c r="C796" t="s">
        <v>178</v>
      </c>
      <c r="D796">
        <v>5.8778332322576829E-2</v>
      </c>
    </row>
    <row r="797" spans="1:4" x14ac:dyDescent="0.25">
      <c r="A797" s="1" t="s">
        <v>32</v>
      </c>
      <c r="B797" t="s">
        <v>138</v>
      </c>
      <c r="C797" t="s">
        <v>178</v>
      </c>
      <c r="D797">
        <v>6.0746243255041438E-2</v>
      </c>
    </row>
    <row r="798" spans="1:4" x14ac:dyDescent="0.25">
      <c r="A798" s="1" t="s">
        <v>34</v>
      </c>
      <c r="B798" t="s">
        <v>139</v>
      </c>
      <c r="C798" t="s">
        <v>178</v>
      </c>
      <c r="D798">
        <v>5.9333507332770596E-2</v>
      </c>
    </row>
    <row r="799" spans="1:4" x14ac:dyDescent="0.25">
      <c r="A799" s="1" t="s">
        <v>36</v>
      </c>
      <c r="B799" t="s">
        <v>140</v>
      </c>
      <c r="C799" t="s">
        <v>178</v>
      </c>
      <c r="D799">
        <v>5.5632950633190043E-2</v>
      </c>
    </row>
    <row r="800" spans="1:4" x14ac:dyDescent="0.25">
      <c r="A800" s="1" t="s">
        <v>38</v>
      </c>
      <c r="B800" t="s">
        <v>141</v>
      </c>
      <c r="C800" t="s">
        <v>178</v>
      </c>
      <c r="D800">
        <v>7.1428571428571425E-2</v>
      </c>
    </row>
    <row r="801" spans="1:4" x14ac:dyDescent="0.25">
      <c r="A801" s="1" t="s">
        <v>40</v>
      </c>
      <c r="B801" t="s">
        <v>142</v>
      </c>
      <c r="C801" t="s">
        <v>178</v>
      </c>
      <c r="D801">
        <v>7.5452515700393866E-2</v>
      </c>
    </row>
    <row r="802" spans="1:4" x14ac:dyDescent="0.25">
      <c r="A802" s="1" t="s">
        <v>42</v>
      </c>
      <c r="B802" t="s">
        <v>143</v>
      </c>
      <c r="C802" t="s">
        <v>178</v>
      </c>
      <c r="D802">
        <v>6.5410696747469604E-2</v>
      </c>
    </row>
    <row r="803" spans="1:4" x14ac:dyDescent="0.25">
      <c r="A803" s="1" t="s">
        <v>44</v>
      </c>
      <c r="B803" t="s">
        <v>144</v>
      </c>
      <c r="C803" t="s">
        <v>178</v>
      </c>
      <c r="D803">
        <v>3.602112915662975E-2</v>
      </c>
    </row>
    <row r="804" spans="1:4" x14ac:dyDescent="0.25">
      <c r="A804" s="1" t="s">
        <v>46</v>
      </c>
      <c r="B804" t="s">
        <v>145</v>
      </c>
      <c r="C804" t="s">
        <v>178</v>
      </c>
      <c r="D804">
        <v>7.9525419937033021E-2</v>
      </c>
    </row>
    <row r="805" spans="1:4" x14ac:dyDescent="0.25">
      <c r="A805" s="1" t="s">
        <v>48</v>
      </c>
      <c r="B805" t="s">
        <v>146</v>
      </c>
      <c r="C805" t="s">
        <v>178</v>
      </c>
      <c r="D805">
        <v>4.0604752103998186E-2</v>
      </c>
    </row>
    <row r="806" spans="1:4" x14ac:dyDescent="0.25">
      <c r="A806" s="1" t="s">
        <v>50</v>
      </c>
      <c r="B806" t="s">
        <v>147</v>
      </c>
      <c r="C806" t="s">
        <v>178</v>
      </c>
      <c r="D806">
        <v>7.2004669253708797E-2</v>
      </c>
    </row>
    <row r="807" spans="1:4" x14ac:dyDescent="0.25">
      <c r="A807" s="1" t="s">
        <v>52</v>
      </c>
      <c r="B807" t="s">
        <v>148</v>
      </c>
      <c r="C807" t="s">
        <v>178</v>
      </c>
      <c r="D807">
        <v>7.2006608217486487E-2</v>
      </c>
    </row>
    <row r="808" spans="1:4" x14ac:dyDescent="0.25">
      <c r="A808" s="1" t="s">
        <v>54</v>
      </c>
      <c r="B808" t="s">
        <v>149</v>
      </c>
      <c r="C808" t="s">
        <v>178</v>
      </c>
      <c r="D808">
        <v>4.8065026267802305E-2</v>
      </c>
    </row>
    <row r="809" spans="1:4" x14ac:dyDescent="0.25">
      <c r="A809" s="1" t="s">
        <v>56</v>
      </c>
      <c r="B809" t="s">
        <v>150</v>
      </c>
      <c r="C809" t="s">
        <v>178</v>
      </c>
      <c r="D809">
        <v>6.4041676359525929E-2</v>
      </c>
    </row>
    <row r="810" spans="1:4" x14ac:dyDescent="0.25">
      <c r="A810" s="1" t="s">
        <v>58</v>
      </c>
      <c r="B810" t="s">
        <v>151</v>
      </c>
      <c r="C810" t="s">
        <v>178</v>
      </c>
      <c r="D810">
        <v>5.1445717564284232E-2</v>
      </c>
    </row>
    <row r="811" spans="1:4" x14ac:dyDescent="0.25">
      <c r="A811" s="1" t="s">
        <v>0</v>
      </c>
      <c r="B811" t="s">
        <v>122</v>
      </c>
      <c r="C811" t="s">
        <v>179</v>
      </c>
      <c r="D811">
        <v>6.7090361923556954E-2</v>
      </c>
    </row>
    <row r="812" spans="1:4" x14ac:dyDescent="0.25">
      <c r="A812" s="1" t="s">
        <v>2</v>
      </c>
      <c r="B812" t="s">
        <v>123</v>
      </c>
      <c r="C812" t="s">
        <v>179</v>
      </c>
      <c r="D812">
        <v>5.2445378104730801E-2</v>
      </c>
    </row>
    <row r="813" spans="1:4" x14ac:dyDescent="0.25">
      <c r="A813" s="1" t="s">
        <v>4</v>
      </c>
      <c r="B813" t="s">
        <v>124</v>
      </c>
      <c r="C813" t="s">
        <v>179</v>
      </c>
      <c r="D813">
        <v>4.9447983494555613E-2</v>
      </c>
    </row>
    <row r="814" spans="1:4" x14ac:dyDescent="0.25">
      <c r="A814" s="1" t="s">
        <v>6</v>
      </c>
      <c r="B814" t="s">
        <v>125</v>
      </c>
      <c r="C814" t="s">
        <v>179</v>
      </c>
      <c r="D814">
        <v>4.9267998199040312E-2</v>
      </c>
    </row>
    <row r="815" spans="1:4" x14ac:dyDescent="0.25">
      <c r="A815" s="1" t="s">
        <v>8</v>
      </c>
      <c r="B815" t="s">
        <v>126</v>
      </c>
      <c r="C815" t="s">
        <v>179</v>
      </c>
      <c r="D815">
        <v>5.8137151404362861E-2</v>
      </c>
    </row>
    <row r="816" spans="1:4" x14ac:dyDescent="0.25">
      <c r="A816" s="1" t="s">
        <v>10</v>
      </c>
      <c r="B816" t="s">
        <v>127</v>
      </c>
      <c r="C816" t="s">
        <v>179</v>
      </c>
      <c r="D816">
        <v>5.1976884914927392E-2</v>
      </c>
    </row>
    <row r="817" spans="1:4" x14ac:dyDescent="0.25">
      <c r="A817" s="1" t="s">
        <v>12</v>
      </c>
      <c r="B817" t="s">
        <v>128</v>
      </c>
      <c r="C817" t="s">
        <v>179</v>
      </c>
      <c r="D817">
        <v>4.9224725447642989E-2</v>
      </c>
    </row>
    <row r="818" spans="1:4" x14ac:dyDescent="0.25">
      <c r="A818" s="1" t="s">
        <v>14</v>
      </c>
      <c r="B818" t="s">
        <v>129</v>
      </c>
      <c r="C818" t="s">
        <v>179</v>
      </c>
      <c r="D818">
        <v>5.518311442110066E-2</v>
      </c>
    </row>
    <row r="819" spans="1:4" x14ac:dyDescent="0.25">
      <c r="A819" s="1" t="s">
        <v>16</v>
      </c>
      <c r="B819" t="s">
        <v>130</v>
      </c>
      <c r="C819" t="s">
        <v>179</v>
      </c>
      <c r="D819">
        <v>5.0111404919168198E-2</v>
      </c>
    </row>
    <row r="820" spans="1:4" x14ac:dyDescent="0.25">
      <c r="A820" s="1" t="s">
        <v>18</v>
      </c>
      <c r="B820" t="s">
        <v>131</v>
      </c>
      <c r="C820" t="s">
        <v>179</v>
      </c>
      <c r="D820">
        <v>6.1660232034921804E-2</v>
      </c>
    </row>
    <row r="821" spans="1:4" x14ac:dyDescent="0.25">
      <c r="A821" s="1" t="s">
        <v>20</v>
      </c>
      <c r="B821" t="s">
        <v>132</v>
      </c>
      <c r="C821" t="s">
        <v>179</v>
      </c>
      <c r="D821">
        <v>5.6656434853254112E-2</v>
      </c>
    </row>
    <row r="822" spans="1:4" x14ac:dyDescent="0.25">
      <c r="A822" s="1" t="s">
        <v>22</v>
      </c>
      <c r="B822" t="s">
        <v>133</v>
      </c>
      <c r="C822" t="s">
        <v>179</v>
      </c>
      <c r="D822">
        <v>5.4135413263290445E-2</v>
      </c>
    </row>
    <row r="823" spans="1:4" x14ac:dyDescent="0.25">
      <c r="A823" s="1" t="s">
        <v>24</v>
      </c>
      <c r="B823" t="s">
        <v>134</v>
      </c>
      <c r="C823" t="s">
        <v>179</v>
      </c>
      <c r="D823">
        <v>6.0097132121407527E-2</v>
      </c>
    </row>
    <row r="824" spans="1:4" x14ac:dyDescent="0.25">
      <c r="A824" s="1" t="s">
        <v>26</v>
      </c>
      <c r="B824" t="s">
        <v>135</v>
      </c>
      <c r="C824" t="s">
        <v>179</v>
      </c>
      <c r="D824">
        <v>5.4620515177955249E-2</v>
      </c>
    </row>
    <row r="825" spans="1:4" x14ac:dyDescent="0.25">
      <c r="A825" s="1" t="s">
        <v>28</v>
      </c>
      <c r="B825" t="s">
        <v>136</v>
      </c>
      <c r="C825" t="s">
        <v>179</v>
      </c>
      <c r="D825">
        <v>5.8136386440403885E-2</v>
      </c>
    </row>
    <row r="826" spans="1:4" x14ac:dyDescent="0.25">
      <c r="A826" s="1" t="s">
        <v>30</v>
      </c>
      <c r="B826" t="s">
        <v>137</v>
      </c>
      <c r="C826" t="s">
        <v>179</v>
      </c>
      <c r="D826">
        <v>5.8778332322576829E-2</v>
      </c>
    </row>
    <row r="827" spans="1:4" x14ac:dyDescent="0.25">
      <c r="A827" s="1" t="s">
        <v>32</v>
      </c>
      <c r="B827" t="s">
        <v>138</v>
      </c>
      <c r="C827" t="s">
        <v>179</v>
      </c>
      <c r="D827">
        <v>6.0746243255041438E-2</v>
      </c>
    </row>
    <row r="828" spans="1:4" x14ac:dyDescent="0.25">
      <c r="A828" s="1" t="s">
        <v>34</v>
      </c>
      <c r="B828" t="s">
        <v>139</v>
      </c>
      <c r="C828" t="s">
        <v>179</v>
      </c>
      <c r="D828">
        <v>5.9333507332770596E-2</v>
      </c>
    </row>
    <row r="829" spans="1:4" x14ac:dyDescent="0.25">
      <c r="A829" s="1" t="s">
        <v>36</v>
      </c>
      <c r="B829" t="s">
        <v>140</v>
      </c>
      <c r="C829" t="s">
        <v>179</v>
      </c>
      <c r="D829">
        <v>5.5632950633190043E-2</v>
      </c>
    </row>
    <row r="830" spans="1:4" x14ac:dyDescent="0.25">
      <c r="A830" s="1" t="s">
        <v>38</v>
      </c>
      <c r="B830" t="s">
        <v>141</v>
      </c>
      <c r="C830" t="s">
        <v>179</v>
      </c>
      <c r="D830">
        <v>7.1428571428571425E-2</v>
      </c>
    </row>
    <row r="831" spans="1:4" x14ac:dyDescent="0.25">
      <c r="A831" s="1" t="s">
        <v>40</v>
      </c>
      <c r="B831" t="s">
        <v>142</v>
      </c>
      <c r="C831" t="s">
        <v>179</v>
      </c>
      <c r="D831">
        <v>7.5452515700393866E-2</v>
      </c>
    </row>
    <row r="832" spans="1:4" x14ac:dyDescent="0.25">
      <c r="A832" s="1" t="s">
        <v>42</v>
      </c>
      <c r="B832" t="s">
        <v>143</v>
      </c>
      <c r="C832" t="s">
        <v>179</v>
      </c>
      <c r="D832">
        <v>6.5410696747469604E-2</v>
      </c>
    </row>
    <row r="833" spans="1:4" x14ac:dyDescent="0.25">
      <c r="A833" s="1" t="s">
        <v>44</v>
      </c>
      <c r="B833" t="s">
        <v>144</v>
      </c>
      <c r="C833" t="s">
        <v>179</v>
      </c>
      <c r="D833">
        <v>3.602112915662975E-2</v>
      </c>
    </row>
    <row r="834" spans="1:4" x14ac:dyDescent="0.25">
      <c r="A834" s="1" t="s">
        <v>46</v>
      </c>
      <c r="B834" t="s">
        <v>145</v>
      </c>
      <c r="C834" t="s">
        <v>179</v>
      </c>
      <c r="D834">
        <v>7.9525419937033021E-2</v>
      </c>
    </row>
    <row r="835" spans="1:4" x14ac:dyDescent="0.25">
      <c r="A835" s="1" t="s">
        <v>48</v>
      </c>
      <c r="B835" t="s">
        <v>146</v>
      </c>
      <c r="C835" t="s">
        <v>179</v>
      </c>
      <c r="D835">
        <v>4.0604752103998186E-2</v>
      </c>
    </row>
    <row r="836" spans="1:4" x14ac:dyDescent="0.25">
      <c r="A836" s="1" t="s">
        <v>50</v>
      </c>
      <c r="B836" t="s">
        <v>147</v>
      </c>
      <c r="C836" t="s">
        <v>179</v>
      </c>
      <c r="D836">
        <v>7.2004669253708797E-2</v>
      </c>
    </row>
    <row r="837" spans="1:4" x14ac:dyDescent="0.25">
      <c r="A837" s="1" t="s">
        <v>52</v>
      </c>
      <c r="B837" t="s">
        <v>148</v>
      </c>
      <c r="C837" t="s">
        <v>179</v>
      </c>
      <c r="D837">
        <v>7.2006608217486487E-2</v>
      </c>
    </row>
    <row r="838" spans="1:4" x14ac:dyDescent="0.25">
      <c r="A838" s="1" t="s">
        <v>54</v>
      </c>
      <c r="B838" t="s">
        <v>149</v>
      </c>
      <c r="C838" t="s">
        <v>179</v>
      </c>
      <c r="D838">
        <v>4.8065026267802305E-2</v>
      </c>
    </row>
    <row r="839" spans="1:4" x14ac:dyDescent="0.25">
      <c r="A839" s="1" t="s">
        <v>56</v>
      </c>
      <c r="B839" t="s">
        <v>150</v>
      </c>
      <c r="C839" t="s">
        <v>179</v>
      </c>
      <c r="D839">
        <v>6.4041676359525929E-2</v>
      </c>
    </row>
    <row r="840" spans="1:4" x14ac:dyDescent="0.25">
      <c r="A840" s="1" t="s">
        <v>58</v>
      </c>
      <c r="B840" t="s">
        <v>151</v>
      </c>
      <c r="C840" t="s">
        <v>179</v>
      </c>
      <c r="D840">
        <v>5.1445717564284232E-2</v>
      </c>
    </row>
    <row r="841" spans="1:4" x14ac:dyDescent="0.25">
      <c r="A841" s="1" t="s">
        <v>0</v>
      </c>
      <c r="B841" t="s">
        <v>122</v>
      </c>
      <c r="C841" t="s">
        <v>180</v>
      </c>
      <c r="D841">
        <v>7.2755929147640633E-2</v>
      </c>
    </row>
    <row r="842" spans="1:4" x14ac:dyDescent="0.25">
      <c r="A842" s="1" t="s">
        <v>2</v>
      </c>
      <c r="B842" t="s">
        <v>123</v>
      </c>
      <c r="C842" t="s">
        <v>180</v>
      </c>
      <c r="D842">
        <v>5.4062175329735347E-2</v>
      </c>
    </row>
    <row r="843" spans="1:4" x14ac:dyDescent="0.25">
      <c r="A843" s="1" t="s">
        <v>4</v>
      </c>
      <c r="B843" t="s">
        <v>124</v>
      </c>
      <c r="C843" t="s">
        <v>180</v>
      </c>
      <c r="D843">
        <v>7.0698705684535901E-2</v>
      </c>
    </row>
    <row r="844" spans="1:4" x14ac:dyDescent="0.25">
      <c r="A844" s="1" t="s">
        <v>6</v>
      </c>
      <c r="B844" t="s">
        <v>125</v>
      </c>
      <c r="C844" t="s">
        <v>180</v>
      </c>
      <c r="D844">
        <v>4.7879778185196259E-2</v>
      </c>
    </row>
    <row r="845" spans="1:4" x14ac:dyDescent="0.25">
      <c r="A845" s="1" t="s">
        <v>8</v>
      </c>
      <c r="B845" t="s">
        <v>126</v>
      </c>
      <c r="C845" t="s">
        <v>180</v>
      </c>
      <c r="D845">
        <v>5.6071953207386047E-2</v>
      </c>
    </row>
    <row r="846" spans="1:4" x14ac:dyDescent="0.25">
      <c r="A846" s="1" t="s">
        <v>10</v>
      </c>
      <c r="B846" t="s">
        <v>127</v>
      </c>
      <c r="C846" t="s">
        <v>180</v>
      </c>
      <c r="D846">
        <v>4.9127692594694371E-2</v>
      </c>
    </row>
    <row r="847" spans="1:4" x14ac:dyDescent="0.25">
      <c r="A847" s="1" t="s">
        <v>12</v>
      </c>
      <c r="B847" t="s">
        <v>128</v>
      </c>
      <c r="C847" t="s">
        <v>180</v>
      </c>
      <c r="D847">
        <v>4.8346594198563957E-2</v>
      </c>
    </row>
    <row r="848" spans="1:4" x14ac:dyDescent="0.25">
      <c r="A848" s="1" t="s">
        <v>14</v>
      </c>
      <c r="B848" t="s">
        <v>129</v>
      </c>
      <c r="C848" t="s">
        <v>180</v>
      </c>
      <c r="D848">
        <v>5.5981318854081384E-2</v>
      </c>
    </row>
    <row r="849" spans="1:4" x14ac:dyDescent="0.25">
      <c r="A849" s="1" t="s">
        <v>16</v>
      </c>
      <c r="B849" t="s">
        <v>130</v>
      </c>
      <c r="C849" t="s">
        <v>180</v>
      </c>
      <c r="D849">
        <v>5.0679726298828956E-2</v>
      </c>
    </row>
    <row r="850" spans="1:4" x14ac:dyDescent="0.25">
      <c r="A850" s="1" t="s">
        <v>18</v>
      </c>
      <c r="B850" t="s">
        <v>131</v>
      </c>
      <c r="C850" t="s">
        <v>180</v>
      </c>
      <c r="D850">
        <v>6.1987796473288392E-2</v>
      </c>
    </row>
    <row r="851" spans="1:4" x14ac:dyDescent="0.25">
      <c r="A851" s="1" t="s">
        <v>20</v>
      </c>
      <c r="B851" t="s">
        <v>132</v>
      </c>
      <c r="C851" t="s">
        <v>180</v>
      </c>
      <c r="D851">
        <v>6.0367432294141245E-2</v>
      </c>
    </row>
    <row r="852" spans="1:4" x14ac:dyDescent="0.25">
      <c r="A852" s="1" t="s">
        <v>22</v>
      </c>
      <c r="B852" t="s">
        <v>133</v>
      </c>
      <c r="C852" t="s">
        <v>180</v>
      </c>
      <c r="D852">
        <v>5.5336799397707921E-2</v>
      </c>
    </row>
    <row r="853" spans="1:4" x14ac:dyDescent="0.25">
      <c r="A853" s="1" t="s">
        <v>24</v>
      </c>
      <c r="B853" t="s">
        <v>134</v>
      </c>
      <c r="C853" t="s">
        <v>180</v>
      </c>
      <c r="D853">
        <v>6.1792819787671358E-2</v>
      </c>
    </row>
    <row r="854" spans="1:4" x14ac:dyDescent="0.25">
      <c r="A854" s="1" t="s">
        <v>26</v>
      </c>
      <c r="B854" t="s">
        <v>135</v>
      </c>
      <c r="C854" t="s">
        <v>180</v>
      </c>
      <c r="D854">
        <v>5.8169963797594371E-2</v>
      </c>
    </row>
    <row r="855" spans="1:4" x14ac:dyDescent="0.25">
      <c r="A855" s="1" t="s">
        <v>28</v>
      </c>
      <c r="B855" t="s">
        <v>136</v>
      </c>
      <c r="C855" t="s">
        <v>180</v>
      </c>
      <c r="D855">
        <v>6.0227402986529746E-2</v>
      </c>
    </row>
    <row r="856" spans="1:4" x14ac:dyDescent="0.25">
      <c r="A856" s="1" t="s">
        <v>30</v>
      </c>
      <c r="B856" t="s">
        <v>137</v>
      </c>
      <c r="C856" t="s">
        <v>180</v>
      </c>
      <c r="D856">
        <v>6.0255286885214837E-2</v>
      </c>
    </row>
    <row r="857" spans="1:4" x14ac:dyDescent="0.25">
      <c r="A857" s="1" t="s">
        <v>32</v>
      </c>
      <c r="B857" t="s">
        <v>138</v>
      </c>
      <c r="C857" t="s">
        <v>180</v>
      </c>
      <c r="D857">
        <v>6.3346659078843751E-2</v>
      </c>
    </row>
    <row r="858" spans="1:4" x14ac:dyDescent="0.25">
      <c r="A858" s="1" t="s">
        <v>34</v>
      </c>
      <c r="B858" t="s">
        <v>139</v>
      </c>
      <c r="C858" t="s">
        <v>180</v>
      </c>
      <c r="D858">
        <v>5.8196669210491526E-2</v>
      </c>
    </row>
    <row r="859" spans="1:4" x14ac:dyDescent="0.25">
      <c r="A859" s="1" t="s">
        <v>36</v>
      </c>
      <c r="B859" t="s">
        <v>140</v>
      </c>
      <c r="C859" t="s">
        <v>180</v>
      </c>
      <c r="D859">
        <v>5.7489873243720103E-2</v>
      </c>
    </row>
    <row r="860" spans="1:4" x14ac:dyDescent="0.25">
      <c r="A860" s="1" t="s">
        <v>38</v>
      </c>
      <c r="B860" t="s">
        <v>141</v>
      </c>
      <c r="C860" t="s">
        <v>180</v>
      </c>
      <c r="D860">
        <v>7.1428571428571425E-2</v>
      </c>
    </row>
    <row r="861" spans="1:4" x14ac:dyDescent="0.25">
      <c r="A861" s="1" t="s">
        <v>40</v>
      </c>
      <c r="B861" t="s">
        <v>142</v>
      </c>
      <c r="C861" t="s">
        <v>180</v>
      </c>
      <c r="D861">
        <v>7.2843517292274104E-2</v>
      </c>
    </row>
    <row r="862" spans="1:4" x14ac:dyDescent="0.25">
      <c r="A862" s="1" t="s">
        <v>42</v>
      </c>
      <c r="B862" t="s">
        <v>143</v>
      </c>
      <c r="C862" t="s">
        <v>180</v>
      </c>
      <c r="D862">
        <v>6.5394575604637073E-2</v>
      </c>
    </row>
    <row r="863" spans="1:4" x14ac:dyDescent="0.25">
      <c r="A863" s="1" t="s">
        <v>44</v>
      </c>
      <c r="B863" t="s">
        <v>144</v>
      </c>
      <c r="C863" t="s">
        <v>180</v>
      </c>
      <c r="D863">
        <v>4.3194790033542499E-2</v>
      </c>
    </row>
    <row r="864" spans="1:4" x14ac:dyDescent="0.25">
      <c r="A864" s="1" t="s">
        <v>46</v>
      </c>
      <c r="B864" t="s">
        <v>145</v>
      </c>
      <c r="C864" t="s">
        <v>180</v>
      </c>
      <c r="D864">
        <v>8.3798447428320738E-2</v>
      </c>
    </row>
    <row r="865" spans="1:4" x14ac:dyDescent="0.25">
      <c r="A865" s="1" t="s">
        <v>48</v>
      </c>
      <c r="B865" t="s">
        <v>146</v>
      </c>
      <c r="C865" t="s">
        <v>180</v>
      </c>
      <c r="D865">
        <v>6.1829320794883021E-2</v>
      </c>
    </row>
    <row r="866" spans="1:4" x14ac:dyDescent="0.25">
      <c r="A866" s="1" t="s">
        <v>50</v>
      </c>
      <c r="B866" t="s">
        <v>147</v>
      </c>
      <c r="C866" t="s">
        <v>180</v>
      </c>
      <c r="D866">
        <v>7.8329528629693682E-2</v>
      </c>
    </row>
    <row r="867" spans="1:4" x14ac:dyDescent="0.25">
      <c r="A867" s="1" t="s">
        <v>52</v>
      </c>
      <c r="B867" t="s">
        <v>148</v>
      </c>
      <c r="C867" t="s">
        <v>180</v>
      </c>
      <c r="D867">
        <v>0.10222755769537639</v>
      </c>
    </row>
    <row r="868" spans="1:4" x14ac:dyDescent="0.25">
      <c r="A868" s="1" t="s">
        <v>54</v>
      </c>
      <c r="B868" t="s">
        <v>149</v>
      </c>
      <c r="C868" t="s">
        <v>180</v>
      </c>
      <c r="D868">
        <v>4.9635898026222584E-2</v>
      </c>
    </row>
    <row r="869" spans="1:4" x14ac:dyDescent="0.25">
      <c r="A869" s="1" t="s">
        <v>56</v>
      </c>
      <c r="B869" t="s">
        <v>150</v>
      </c>
      <c r="C869" t="s">
        <v>180</v>
      </c>
      <c r="D869">
        <v>6.3697455825309335E-2</v>
      </c>
    </row>
    <row r="870" spans="1:4" x14ac:dyDescent="0.25">
      <c r="A870" s="1" t="s">
        <v>58</v>
      </c>
      <c r="B870" t="s">
        <v>151</v>
      </c>
      <c r="C870" t="s">
        <v>180</v>
      </c>
      <c r="D870">
        <v>5.9222422114407203E-2</v>
      </c>
    </row>
    <row r="871" spans="1:4" x14ac:dyDescent="0.25">
      <c r="A871" s="1" t="s">
        <v>0</v>
      </c>
      <c r="B871" t="s">
        <v>122</v>
      </c>
      <c r="C871" t="s">
        <v>181</v>
      </c>
      <c r="D871">
        <v>7.0001835402157681E-2</v>
      </c>
    </row>
    <row r="872" spans="1:4" x14ac:dyDescent="0.25">
      <c r="A872" s="1" t="s">
        <v>2</v>
      </c>
      <c r="B872" t="s">
        <v>123</v>
      </c>
      <c r="C872" t="s">
        <v>181</v>
      </c>
      <c r="D872">
        <v>6.9238312713641115E-2</v>
      </c>
    </row>
    <row r="873" spans="1:4" x14ac:dyDescent="0.25">
      <c r="A873" s="1" t="s">
        <v>4</v>
      </c>
      <c r="B873" t="s">
        <v>124</v>
      </c>
      <c r="C873" t="s">
        <v>181</v>
      </c>
      <c r="D873">
        <v>6.7313175399039679E-2</v>
      </c>
    </row>
    <row r="874" spans="1:4" x14ac:dyDescent="0.25">
      <c r="A874" s="1" t="s">
        <v>6</v>
      </c>
      <c r="B874" t="s">
        <v>125</v>
      </c>
      <c r="C874" t="s">
        <v>181</v>
      </c>
      <c r="D874">
        <v>5.9267234205264453E-2</v>
      </c>
    </row>
    <row r="875" spans="1:4" x14ac:dyDescent="0.25">
      <c r="A875" s="1" t="s">
        <v>8</v>
      </c>
      <c r="B875" t="s">
        <v>126</v>
      </c>
      <c r="C875" t="s">
        <v>181</v>
      </c>
      <c r="D875">
        <v>6.0266462617673024E-2</v>
      </c>
    </row>
    <row r="876" spans="1:4" x14ac:dyDescent="0.25">
      <c r="A876" s="1" t="s">
        <v>10</v>
      </c>
      <c r="B876" t="s">
        <v>127</v>
      </c>
      <c r="C876" t="s">
        <v>181</v>
      </c>
      <c r="D876">
        <v>5.4435342256652704E-2</v>
      </c>
    </row>
    <row r="877" spans="1:4" x14ac:dyDescent="0.25">
      <c r="A877" s="1" t="s">
        <v>12</v>
      </c>
      <c r="B877" t="s">
        <v>128</v>
      </c>
      <c r="C877" t="s">
        <v>181</v>
      </c>
      <c r="D877">
        <v>6.3330215121186723E-2</v>
      </c>
    </row>
    <row r="878" spans="1:4" x14ac:dyDescent="0.25">
      <c r="A878" s="1" t="s">
        <v>14</v>
      </c>
      <c r="B878" t="s">
        <v>129</v>
      </c>
      <c r="C878" t="s">
        <v>181</v>
      </c>
      <c r="D878">
        <v>6.2887366616001958E-2</v>
      </c>
    </row>
    <row r="879" spans="1:4" x14ac:dyDescent="0.25">
      <c r="A879" s="1" t="s">
        <v>16</v>
      </c>
      <c r="B879" t="s">
        <v>130</v>
      </c>
      <c r="C879" t="s">
        <v>181</v>
      </c>
      <c r="D879">
        <v>6.4956100601236771E-2</v>
      </c>
    </row>
    <row r="880" spans="1:4" x14ac:dyDescent="0.25">
      <c r="A880" s="1" t="s">
        <v>18</v>
      </c>
      <c r="B880" t="s">
        <v>131</v>
      </c>
      <c r="C880" t="s">
        <v>181</v>
      </c>
      <c r="D880">
        <v>6.8104203415219916E-2</v>
      </c>
    </row>
    <row r="881" spans="1:4" x14ac:dyDescent="0.25">
      <c r="A881" s="1" t="s">
        <v>20</v>
      </c>
      <c r="B881" t="s">
        <v>132</v>
      </c>
      <c r="C881" t="s">
        <v>181</v>
      </c>
      <c r="D881">
        <v>6.314322903582377E-2</v>
      </c>
    </row>
    <row r="882" spans="1:4" x14ac:dyDescent="0.25">
      <c r="A882" s="1" t="s">
        <v>22</v>
      </c>
      <c r="B882" t="s">
        <v>133</v>
      </c>
      <c r="C882" t="s">
        <v>181</v>
      </c>
      <c r="D882">
        <v>6.0244607483789063E-2</v>
      </c>
    </row>
    <row r="883" spans="1:4" x14ac:dyDescent="0.25">
      <c r="A883" s="1" t="s">
        <v>24</v>
      </c>
      <c r="B883" t="s">
        <v>134</v>
      </c>
      <c r="C883" t="s">
        <v>181</v>
      </c>
      <c r="D883">
        <v>6.5070529531974466E-2</v>
      </c>
    </row>
    <row r="884" spans="1:4" x14ac:dyDescent="0.25">
      <c r="A884" s="1" t="s">
        <v>26</v>
      </c>
      <c r="B884" t="s">
        <v>135</v>
      </c>
      <c r="C884" t="s">
        <v>181</v>
      </c>
      <c r="D884">
        <v>6.4958476919826938E-2</v>
      </c>
    </row>
    <row r="885" spans="1:4" x14ac:dyDescent="0.25">
      <c r="A885" s="1" t="s">
        <v>28</v>
      </c>
      <c r="B885" t="s">
        <v>136</v>
      </c>
      <c r="C885" t="s">
        <v>181</v>
      </c>
      <c r="D885">
        <v>6.9569789819075759E-2</v>
      </c>
    </row>
    <row r="886" spans="1:4" x14ac:dyDescent="0.25">
      <c r="A886" s="1" t="s">
        <v>30</v>
      </c>
      <c r="B886" t="s">
        <v>137</v>
      </c>
      <c r="C886" t="s">
        <v>181</v>
      </c>
      <c r="D886">
        <v>6.6258126705098605E-2</v>
      </c>
    </row>
    <row r="887" spans="1:4" x14ac:dyDescent="0.25">
      <c r="A887" s="1" t="s">
        <v>32</v>
      </c>
      <c r="B887" t="s">
        <v>138</v>
      </c>
      <c r="C887" t="s">
        <v>181</v>
      </c>
      <c r="D887">
        <v>6.2180984066249889E-2</v>
      </c>
    </row>
    <row r="888" spans="1:4" x14ac:dyDescent="0.25">
      <c r="A888" s="1" t="s">
        <v>34</v>
      </c>
      <c r="B888" t="s">
        <v>139</v>
      </c>
      <c r="C888" t="s">
        <v>181</v>
      </c>
      <c r="D888">
        <v>6.2498088979038587E-2</v>
      </c>
    </row>
    <row r="889" spans="1:4" x14ac:dyDescent="0.25">
      <c r="A889" s="1" t="s">
        <v>36</v>
      </c>
      <c r="B889" t="s">
        <v>140</v>
      </c>
      <c r="C889" t="s">
        <v>181</v>
      </c>
      <c r="D889">
        <v>6.0195615191732034E-2</v>
      </c>
    </row>
    <row r="890" spans="1:4" x14ac:dyDescent="0.25">
      <c r="A890" s="1" t="s">
        <v>38</v>
      </c>
      <c r="B890" t="s">
        <v>141</v>
      </c>
      <c r="C890" t="s">
        <v>181</v>
      </c>
      <c r="D890">
        <v>5.9583256815886887E-2</v>
      </c>
    </row>
    <row r="891" spans="1:4" x14ac:dyDescent="0.25">
      <c r="A891" s="1" t="s">
        <v>40</v>
      </c>
      <c r="B891" t="s">
        <v>142</v>
      </c>
      <c r="C891" t="s">
        <v>181</v>
      </c>
      <c r="D891">
        <v>9.3804413501474448E-2</v>
      </c>
    </row>
    <row r="892" spans="1:4" x14ac:dyDescent="0.25">
      <c r="A892" s="1" t="s">
        <v>42</v>
      </c>
      <c r="B892" t="s">
        <v>143</v>
      </c>
      <c r="C892" t="s">
        <v>181</v>
      </c>
      <c r="D892">
        <v>7.7292469214737078E-2</v>
      </c>
    </row>
    <row r="893" spans="1:4" x14ac:dyDescent="0.25">
      <c r="A893" s="1" t="s">
        <v>44</v>
      </c>
      <c r="B893" t="s">
        <v>144</v>
      </c>
      <c r="C893" t="s">
        <v>181</v>
      </c>
      <c r="D893">
        <v>5.367255865900198E-2</v>
      </c>
    </row>
    <row r="894" spans="1:4" x14ac:dyDescent="0.25">
      <c r="A894" s="1" t="s">
        <v>46</v>
      </c>
      <c r="B894" t="s">
        <v>145</v>
      </c>
      <c r="C894" t="s">
        <v>181</v>
      </c>
      <c r="D894">
        <v>0.11065701956640302</v>
      </c>
    </row>
    <row r="895" spans="1:4" x14ac:dyDescent="0.25">
      <c r="A895" s="1" t="s">
        <v>48</v>
      </c>
      <c r="B895" t="s">
        <v>146</v>
      </c>
      <c r="C895" t="s">
        <v>181</v>
      </c>
      <c r="D895">
        <v>9.5051438348377842E-2</v>
      </c>
    </row>
    <row r="896" spans="1:4" x14ac:dyDescent="0.25">
      <c r="A896" s="1" t="s">
        <v>50</v>
      </c>
      <c r="B896" t="s">
        <v>147</v>
      </c>
      <c r="C896" t="s">
        <v>181</v>
      </c>
      <c r="D896">
        <v>9.6053645924202166E-2</v>
      </c>
    </row>
    <row r="897" spans="1:4" x14ac:dyDescent="0.25">
      <c r="A897" s="1" t="s">
        <v>52</v>
      </c>
      <c r="B897" t="s">
        <v>148</v>
      </c>
      <c r="C897" t="s">
        <v>181</v>
      </c>
      <c r="D897">
        <v>6.7155833218778382E-2</v>
      </c>
    </row>
    <row r="898" spans="1:4" x14ac:dyDescent="0.25">
      <c r="A898" s="1" t="s">
        <v>54</v>
      </c>
      <c r="B898" t="s">
        <v>149</v>
      </c>
      <c r="C898" t="s">
        <v>181</v>
      </c>
      <c r="D898">
        <v>8.8795376113161337E-2</v>
      </c>
    </row>
    <row r="899" spans="1:4" x14ac:dyDescent="0.25">
      <c r="A899" s="1" t="s">
        <v>56</v>
      </c>
      <c r="B899" t="s">
        <v>150</v>
      </c>
      <c r="C899" t="s">
        <v>181</v>
      </c>
      <c r="D899">
        <v>6.270840190303599E-2</v>
      </c>
    </row>
    <row r="900" spans="1:4" x14ac:dyDescent="0.25">
      <c r="A900" s="1" t="s">
        <v>58</v>
      </c>
      <c r="B900" t="s">
        <v>151</v>
      </c>
      <c r="C900" t="s">
        <v>181</v>
      </c>
      <c r="D900">
        <v>5.8679982991720385E-2</v>
      </c>
    </row>
    <row r="901" spans="1:4" x14ac:dyDescent="0.25">
      <c r="A901" s="1" t="s">
        <v>0</v>
      </c>
      <c r="B901" t="s">
        <v>122</v>
      </c>
      <c r="C901" t="s">
        <v>182</v>
      </c>
      <c r="D901">
        <v>7.1969962720991112E-2</v>
      </c>
    </row>
    <row r="902" spans="1:4" x14ac:dyDescent="0.25">
      <c r="A902" s="1" t="s">
        <v>2</v>
      </c>
      <c r="B902" t="s">
        <v>123</v>
      </c>
      <c r="C902" t="s">
        <v>182</v>
      </c>
      <c r="D902">
        <v>5.1166605685510833E-2</v>
      </c>
    </row>
    <row r="903" spans="1:4" x14ac:dyDescent="0.25">
      <c r="A903" s="1" t="s">
        <v>4</v>
      </c>
      <c r="B903" t="s">
        <v>124</v>
      </c>
      <c r="C903" t="s">
        <v>182</v>
      </c>
      <c r="D903">
        <v>5.6555692119845631E-2</v>
      </c>
    </row>
    <row r="904" spans="1:4" x14ac:dyDescent="0.25">
      <c r="A904" s="1" t="s">
        <v>6</v>
      </c>
      <c r="B904" t="s">
        <v>125</v>
      </c>
      <c r="C904" t="s">
        <v>182</v>
      </c>
      <c r="D904">
        <v>4.5643180812624133E-2</v>
      </c>
    </row>
    <row r="905" spans="1:4" x14ac:dyDescent="0.25">
      <c r="A905" s="1" t="s">
        <v>8</v>
      </c>
      <c r="B905" t="s">
        <v>126</v>
      </c>
      <c r="C905" t="s">
        <v>182</v>
      </c>
      <c r="D905">
        <v>5.3248099005423405E-2</v>
      </c>
    </row>
    <row r="906" spans="1:4" x14ac:dyDescent="0.25">
      <c r="A906" s="1" t="s">
        <v>10</v>
      </c>
      <c r="B906" t="s">
        <v>127</v>
      </c>
      <c r="C906" t="s">
        <v>182</v>
      </c>
      <c r="D906">
        <v>5.2959275145782095E-2</v>
      </c>
    </row>
    <row r="907" spans="1:4" x14ac:dyDescent="0.25">
      <c r="A907" s="1" t="s">
        <v>12</v>
      </c>
      <c r="B907" t="s">
        <v>128</v>
      </c>
      <c r="C907" t="s">
        <v>182</v>
      </c>
      <c r="D907">
        <v>4.5835007854023342E-2</v>
      </c>
    </row>
    <row r="908" spans="1:4" x14ac:dyDescent="0.25">
      <c r="A908" s="1" t="s">
        <v>14</v>
      </c>
      <c r="B908" t="s">
        <v>129</v>
      </c>
      <c r="C908" t="s">
        <v>182</v>
      </c>
      <c r="D908">
        <v>5.6653287639682547E-2</v>
      </c>
    </row>
    <row r="909" spans="1:4" x14ac:dyDescent="0.25">
      <c r="A909" s="1" t="s">
        <v>16</v>
      </c>
      <c r="B909" t="s">
        <v>130</v>
      </c>
      <c r="C909" t="s">
        <v>182</v>
      </c>
      <c r="D909">
        <v>4.9750052794102127E-2</v>
      </c>
    </row>
    <row r="910" spans="1:4" x14ac:dyDescent="0.25">
      <c r="A910" s="1" t="s">
        <v>18</v>
      </c>
      <c r="B910" t="s">
        <v>131</v>
      </c>
      <c r="C910" t="s">
        <v>182</v>
      </c>
      <c r="D910">
        <v>6.1430398305861611E-2</v>
      </c>
    </row>
    <row r="911" spans="1:4" x14ac:dyDescent="0.25">
      <c r="A911" s="1" t="s">
        <v>20</v>
      </c>
      <c r="B911" t="s">
        <v>132</v>
      </c>
      <c r="C911" t="s">
        <v>182</v>
      </c>
      <c r="D911">
        <v>5.6363674252630953E-2</v>
      </c>
    </row>
    <row r="912" spans="1:4" x14ac:dyDescent="0.25">
      <c r="A912" s="1" t="s">
        <v>22</v>
      </c>
      <c r="B912" t="s">
        <v>133</v>
      </c>
      <c r="C912" t="s">
        <v>182</v>
      </c>
      <c r="D912">
        <v>5.7007304690933021E-2</v>
      </c>
    </row>
    <row r="913" spans="1:4" x14ac:dyDescent="0.25">
      <c r="A913" s="1" t="s">
        <v>24</v>
      </c>
      <c r="B913" t="s">
        <v>134</v>
      </c>
      <c r="C913" t="s">
        <v>182</v>
      </c>
      <c r="D913">
        <v>5.9869746668978492E-2</v>
      </c>
    </row>
    <row r="914" spans="1:4" x14ac:dyDescent="0.25">
      <c r="A914" s="1" t="s">
        <v>26</v>
      </c>
      <c r="B914" t="s">
        <v>135</v>
      </c>
      <c r="C914" t="s">
        <v>182</v>
      </c>
      <c r="D914">
        <v>5.5505405382047318E-2</v>
      </c>
    </row>
    <row r="915" spans="1:4" x14ac:dyDescent="0.25">
      <c r="A915" s="1" t="s">
        <v>28</v>
      </c>
      <c r="B915" t="s">
        <v>136</v>
      </c>
      <c r="C915" t="s">
        <v>182</v>
      </c>
      <c r="D915">
        <v>6.1597436580392594E-2</v>
      </c>
    </row>
    <row r="916" spans="1:4" x14ac:dyDescent="0.25">
      <c r="A916" s="1" t="s">
        <v>30</v>
      </c>
      <c r="B916" t="s">
        <v>137</v>
      </c>
      <c r="C916" t="s">
        <v>182</v>
      </c>
      <c r="D916">
        <v>5.9395540127997727E-2</v>
      </c>
    </row>
    <row r="917" spans="1:4" x14ac:dyDescent="0.25">
      <c r="A917" s="1" t="s">
        <v>32</v>
      </c>
      <c r="B917" t="s">
        <v>138</v>
      </c>
      <c r="C917" t="s">
        <v>182</v>
      </c>
      <c r="D917">
        <v>6.2347495441853702E-2</v>
      </c>
    </row>
    <row r="918" spans="1:4" x14ac:dyDescent="0.25">
      <c r="A918" s="1" t="s">
        <v>34</v>
      </c>
      <c r="B918" t="s">
        <v>139</v>
      </c>
      <c r="C918" t="s">
        <v>182</v>
      </c>
      <c r="D918">
        <v>6.3274074992722085E-2</v>
      </c>
    </row>
    <row r="919" spans="1:4" x14ac:dyDescent="0.25">
      <c r="A919" s="1" t="s">
        <v>36</v>
      </c>
      <c r="B919" t="s">
        <v>140</v>
      </c>
      <c r="C919" t="s">
        <v>182</v>
      </c>
      <c r="D919">
        <v>5.6086883780727591E-2</v>
      </c>
    </row>
    <row r="920" spans="1:4" x14ac:dyDescent="0.25">
      <c r="A920" s="1" t="s">
        <v>38</v>
      </c>
      <c r="B920" t="s">
        <v>141</v>
      </c>
      <c r="C920" t="s">
        <v>182</v>
      </c>
      <c r="D920">
        <v>5.9917270869237545E-2</v>
      </c>
    </row>
    <row r="921" spans="1:4" x14ac:dyDescent="0.25">
      <c r="A921" s="1" t="s">
        <v>40</v>
      </c>
      <c r="B921" t="s">
        <v>142</v>
      </c>
      <c r="C921" t="s">
        <v>182</v>
      </c>
      <c r="D921">
        <v>8.1530691169840463E-2</v>
      </c>
    </row>
    <row r="922" spans="1:4" x14ac:dyDescent="0.25">
      <c r="A922" s="1" t="s">
        <v>42</v>
      </c>
      <c r="B922" t="s">
        <v>143</v>
      </c>
      <c r="C922" t="s">
        <v>182</v>
      </c>
      <c r="D922">
        <v>5.9651391187957592E-2</v>
      </c>
    </row>
    <row r="923" spans="1:4" x14ac:dyDescent="0.25">
      <c r="A923" s="1" t="s">
        <v>44</v>
      </c>
      <c r="B923" t="s">
        <v>144</v>
      </c>
      <c r="C923" t="s">
        <v>182</v>
      </c>
      <c r="D923">
        <v>4.8865678082614057E-2</v>
      </c>
    </row>
    <row r="924" spans="1:4" x14ac:dyDescent="0.25">
      <c r="A924" s="1" t="s">
        <v>46</v>
      </c>
      <c r="B924" t="s">
        <v>145</v>
      </c>
      <c r="C924" t="s">
        <v>182</v>
      </c>
      <c r="D924">
        <v>8.3473302584998646E-2</v>
      </c>
    </row>
    <row r="925" spans="1:4" x14ac:dyDescent="0.25">
      <c r="A925" s="1" t="s">
        <v>48</v>
      </c>
      <c r="B925" t="s">
        <v>146</v>
      </c>
      <c r="C925" t="s">
        <v>182</v>
      </c>
      <c r="D925">
        <v>5.6064276498965927E-2</v>
      </c>
    </row>
    <row r="926" spans="1:4" x14ac:dyDescent="0.25">
      <c r="A926" s="1" t="s">
        <v>50</v>
      </c>
      <c r="B926" t="s">
        <v>147</v>
      </c>
      <c r="C926" t="s">
        <v>182</v>
      </c>
      <c r="D926">
        <v>7.1097129204433729E-2</v>
      </c>
    </row>
    <row r="927" spans="1:4" x14ac:dyDescent="0.25">
      <c r="A927" s="1" t="s">
        <v>52</v>
      </c>
      <c r="B927" t="s">
        <v>148</v>
      </c>
      <c r="C927" t="s">
        <v>182</v>
      </c>
      <c r="D927">
        <v>4.9517131968753014E-2</v>
      </c>
    </row>
    <row r="928" spans="1:4" x14ac:dyDescent="0.25">
      <c r="A928" s="1" t="s">
        <v>54</v>
      </c>
      <c r="B928" t="s">
        <v>149</v>
      </c>
      <c r="C928" t="s">
        <v>182</v>
      </c>
      <c r="D928">
        <v>6.9885604539845214E-2</v>
      </c>
    </row>
    <row r="929" spans="1:4" x14ac:dyDescent="0.25">
      <c r="A929" s="1" t="s">
        <v>56</v>
      </c>
      <c r="B929" t="s">
        <v>150</v>
      </c>
      <c r="C929" t="s">
        <v>182</v>
      </c>
      <c r="D929">
        <v>5.2908804527552922E-2</v>
      </c>
    </row>
    <row r="930" spans="1:4" x14ac:dyDescent="0.25">
      <c r="A930" s="1" t="s">
        <v>58</v>
      </c>
      <c r="B930" t="s">
        <v>151</v>
      </c>
      <c r="C930" t="s">
        <v>182</v>
      </c>
      <c r="D930">
        <v>5.1140910563569515E-2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4B25-9273-4285-AC89-5D23F6E5E200}">
  <dimension ref="A1:W23"/>
  <sheetViews>
    <sheetView workbookViewId="0">
      <selection activeCell="B2" sqref="B2:V23"/>
    </sheetView>
  </sheetViews>
  <sheetFormatPr defaultRowHeight="15" x14ac:dyDescent="0.25"/>
  <sheetData>
    <row r="1" spans="1:23" s="3" customFormat="1" x14ac:dyDescent="0.25">
      <c r="B1" s="3" t="s">
        <v>186</v>
      </c>
      <c r="C1" s="3" t="s">
        <v>156</v>
      </c>
      <c r="D1" s="3" t="s">
        <v>165</v>
      </c>
      <c r="E1" s="3" t="s">
        <v>158</v>
      </c>
      <c r="F1" s="3" t="s">
        <v>161</v>
      </c>
      <c r="G1" s="3" t="s">
        <v>167</v>
      </c>
      <c r="H1" s="3" t="s">
        <v>187</v>
      </c>
      <c r="I1" s="3" t="s">
        <v>188</v>
      </c>
      <c r="J1" s="3" t="s">
        <v>189</v>
      </c>
      <c r="K1" s="3" t="s">
        <v>190</v>
      </c>
      <c r="L1" s="3" t="s">
        <v>191</v>
      </c>
      <c r="M1" s="3" t="s">
        <v>192</v>
      </c>
      <c r="N1" s="3" t="s">
        <v>193</v>
      </c>
      <c r="O1" s="3" t="s">
        <v>194</v>
      </c>
      <c r="P1" s="3" t="s">
        <v>195</v>
      </c>
      <c r="Q1" s="3" t="s">
        <v>196</v>
      </c>
      <c r="R1" s="3" t="s">
        <v>197</v>
      </c>
      <c r="S1" s="3" t="s">
        <v>198</v>
      </c>
      <c r="T1" s="3" t="s">
        <v>199</v>
      </c>
      <c r="U1" s="3" t="s">
        <v>200</v>
      </c>
      <c r="V1" s="3" t="s">
        <v>201</v>
      </c>
      <c r="W1" s="3" t="s">
        <v>202</v>
      </c>
    </row>
    <row r="2" spans="1:23" x14ac:dyDescent="0.25">
      <c r="A2" t="s">
        <v>186</v>
      </c>
      <c r="B2">
        <v>1</v>
      </c>
      <c r="C2">
        <v>1.0266</v>
      </c>
      <c r="D2">
        <v>1.1177999999999999</v>
      </c>
      <c r="E2">
        <v>1.0703</v>
      </c>
      <c r="F2">
        <v>1.0677000000000001</v>
      </c>
      <c r="G2">
        <v>1.0745</v>
      </c>
      <c r="H2">
        <v>1.3694</v>
      </c>
      <c r="I2">
        <v>1.4414</v>
      </c>
      <c r="J2">
        <v>1.3572</v>
      </c>
      <c r="K2">
        <v>1.3385</v>
      </c>
      <c r="L2">
        <v>1.3983000000000001</v>
      </c>
      <c r="M2">
        <v>1.516</v>
      </c>
      <c r="N2">
        <v>1.2708999999999999</v>
      </c>
      <c r="O2">
        <v>1.5239</v>
      </c>
      <c r="P2">
        <v>1.0591999999999999</v>
      </c>
      <c r="Q2">
        <v>1.8007</v>
      </c>
      <c r="R2">
        <v>1.0547</v>
      </c>
      <c r="S2">
        <v>1.4162999999999999</v>
      </c>
      <c r="T2">
        <v>1.5285</v>
      </c>
      <c r="U2">
        <v>1.2877000000000001</v>
      </c>
      <c r="V2">
        <v>1.6344000000000001</v>
      </c>
      <c r="W2">
        <v>1.1928000000000001</v>
      </c>
    </row>
    <row r="3" spans="1:23" x14ac:dyDescent="0.25">
      <c r="A3" t="s">
        <v>156</v>
      </c>
      <c r="B3">
        <v>1.0266</v>
      </c>
      <c r="C3">
        <v>1</v>
      </c>
      <c r="D3">
        <v>1.0962000000000001</v>
      </c>
      <c r="E3">
        <v>1.0451999999999999</v>
      </c>
      <c r="F3">
        <v>1.0609</v>
      </c>
      <c r="G3">
        <v>1.0479000000000001</v>
      </c>
      <c r="H3">
        <v>1.3452999999999999</v>
      </c>
      <c r="I3">
        <v>1.4588000000000001</v>
      </c>
      <c r="J3">
        <v>1.3786</v>
      </c>
      <c r="K3">
        <v>1.3153999999999999</v>
      </c>
      <c r="L3">
        <v>1.4181999999999999</v>
      </c>
      <c r="M3">
        <v>1.4936</v>
      </c>
      <c r="N3">
        <v>1.2975000000000001</v>
      </c>
      <c r="O3">
        <v>1.5005999999999999</v>
      </c>
      <c r="P3">
        <v>1.0828</v>
      </c>
      <c r="Q3">
        <v>1.8268</v>
      </c>
      <c r="R3">
        <v>1.0430999999999999</v>
      </c>
      <c r="S3">
        <v>1.4427000000000001</v>
      </c>
      <c r="T3">
        <v>1.5551999999999999</v>
      </c>
      <c r="U3">
        <v>1.2758</v>
      </c>
      <c r="V3">
        <v>1.6129</v>
      </c>
      <c r="W3">
        <v>1.2142999999999999</v>
      </c>
    </row>
    <row r="4" spans="1:23" x14ac:dyDescent="0.25">
      <c r="A4" t="s">
        <v>165</v>
      </c>
      <c r="B4">
        <v>1.1177999999999999</v>
      </c>
      <c r="C4">
        <v>1.0962000000000001</v>
      </c>
      <c r="D4">
        <v>1</v>
      </c>
      <c r="E4">
        <v>1.0542</v>
      </c>
      <c r="F4">
        <v>1.0702</v>
      </c>
      <c r="G4">
        <v>1.0649999999999999</v>
      </c>
      <c r="H4">
        <v>1.3132999999999999</v>
      </c>
      <c r="I4">
        <v>1.5538000000000001</v>
      </c>
      <c r="J4">
        <v>1.4745999999999999</v>
      </c>
      <c r="K4">
        <v>1.2927999999999999</v>
      </c>
      <c r="L4">
        <v>1.5144</v>
      </c>
      <c r="M4">
        <v>1.3980999999999999</v>
      </c>
      <c r="N4">
        <v>1.3743000000000001</v>
      </c>
      <c r="O4">
        <v>1.4663999999999999</v>
      </c>
      <c r="P4">
        <v>1.177</v>
      </c>
      <c r="Q4">
        <v>1.9043000000000001</v>
      </c>
      <c r="R4">
        <v>1.1229</v>
      </c>
      <c r="S4">
        <v>1.524</v>
      </c>
      <c r="T4">
        <v>1.6273</v>
      </c>
      <c r="U4">
        <v>1.1923999999999999</v>
      </c>
      <c r="V4">
        <v>1.5168999999999999</v>
      </c>
      <c r="W4">
        <v>1.2552000000000001</v>
      </c>
    </row>
    <row r="5" spans="1:23" x14ac:dyDescent="0.25">
      <c r="A5" t="s">
        <v>158</v>
      </c>
      <c r="B5">
        <v>1.0703</v>
      </c>
      <c r="C5">
        <v>1.0451999999999999</v>
      </c>
      <c r="D5">
        <v>1.0542</v>
      </c>
      <c r="E5">
        <v>1</v>
      </c>
      <c r="F5">
        <v>1.0569</v>
      </c>
      <c r="G5">
        <v>1.0177</v>
      </c>
      <c r="H5">
        <v>1.3172999999999999</v>
      </c>
      <c r="I5">
        <v>1.4998</v>
      </c>
      <c r="J5">
        <v>1.4229000000000001</v>
      </c>
      <c r="K5">
        <v>1.2907</v>
      </c>
      <c r="L5">
        <v>1.4614</v>
      </c>
      <c r="M5">
        <v>1.4490000000000001</v>
      </c>
      <c r="N5">
        <v>1.339</v>
      </c>
      <c r="O5">
        <v>1.4733000000000001</v>
      </c>
      <c r="P5">
        <v>1.1278999999999999</v>
      </c>
      <c r="Q5">
        <v>1.8707</v>
      </c>
      <c r="R5">
        <v>1.0690999999999999</v>
      </c>
      <c r="S5">
        <v>1.486</v>
      </c>
      <c r="T5">
        <v>1.5962000000000001</v>
      </c>
      <c r="U5">
        <v>1.2433000000000001</v>
      </c>
      <c r="V5">
        <v>1.5687</v>
      </c>
      <c r="W5">
        <v>1.2406999999999999</v>
      </c>
    </row>
    <row r="6" spans="1:23" x14ac:dyDescent="0.25">
      <c r="A6" t="s">
        <v>161</v>
      </c>
      <c r="B6">
        <v>1.0677000000000001</v>
      </c>
      <c r="C6">
        <v>1.0609</v>
      </c>
      <c r="D6">
        <v>1.0702</v>
      </c>
      <c r="E6">
        <v>1.0569</v>
      </c>
      <c r="F6">
        <v>1</v>
      </c>
      <c r="G6">
        <v>1.0738000000000001</v>
      </c>
      <c r="H6">
        <v>1.3714</v>
      </c>
      <c r="I6">
        <v>1.5069999999999999</v>
      </c>
      <c r="J6">
        <v>1.4180999999999999</v>
      </c>
      <c r="K6">
        <v>1.3463000000000001</v>
      </c>
      <c r="L6">
        <v>1.4614</v>
      </c>
      <c r="M6">
        <v>1.4582999999999999</v>
      </c>
      <c r="N6">
        <v>1.3045</v>
      </c>
      <c r="O6">
        <v>1.5269999999999999</v>
      </c>
      <c r="P6">
        <v>1.1222000000000001</v>
      </c>
      <c r="Q6">
        <v>1.8345</v>
      </c>
      <c r="R6">
        <v>1.1032</v>
      </c>
      <c r="S6">
        <v>1.4542999999999999</v>
      </c>
      <c r="T6">
        <v>1.5571999999999999</v>
      </c>
      <c r="U6">
        <v>1.2201</v>
      </c>
      <c r="V6">
        <v>1.5739000000000001</v>
      </c>
      <c r="W6">
        <v>1.1889000000000001</v>
      </c>
    </row>
    <row r="7" spans="1:23" x14ac:dyDescent="0.25">
      <c r="A7" t="s">
        <v>167</v>
      </c>
      <c r="B7">
        <v>1.0745</v>
      </c>
      <c r="C7">
        <v>1.0479000000000001</v>
      </c>
      <c r="D7">
        <v>1.0649999999999999</v>
      </c>
      <c r="E7">
        <v>1.0177</v>
      </c>
      <c r="F7">
        <v>1.0738000000000001</v>
      </c>
      <c r="G7">
        <v>1</v>
      </c>
      <c r="H7">
        <v>1.3035000000000001</v>
      </c>
      <c r="I7">
        <v>1.4919</v>
      </c>
      <c r="J7">
        <v>1.419</v>
      </c>
      <c r="K7">
        <v>1.2759</v>
      </c>
      <c r="L7">
        <v>1.4558</v>
      </c>
      <c r="M7">
        <v>1.4524999999999999</v>
      </c>
      <c r="N7">
        <v>1.3453999999999999</v>
      </c>
      <c r="O7">
        <v>1.4595</v>
      </c>
      <c r="P7">
        <v>1.1287</v>
      </c>
      <c r="Q7">
        <v>1.8738999999999999</v>
      </c>
      <c r="R7">
        <v>1.0593999999999999</v>
      </c>
      <c r="S7">
        <v>1.4904999999999999</v>
      </c>
      <c r="T7">
        <v>1.603</v>
      </c>
      <c r="U7">
        <v>1.2567999999999999</v>
      </c>
      <c r="V7">
        <v>1.5727</v>
      </c>
      <c r="W7">
        <v>1.2542</v>
      </c>
    </row>
    <row r="8" spans="1:23" x14ac:dyDescent="0.25">
      <c r="A8" t="s">
        <v>187</v>
      </c>
      <c r="B8">
        <v>1.3694</v>
      </c>
      <c r="C8">
        <v>1.3452999999999999</v>
      </c>
      <c r="D8">
        <v>1.3132999999999999</v>
      </c>
      <c r="E8">
        <v>1.3172999999999999</v>
      </c>
      <c r="F8">
        <v>1.3714</v>
      </c>
      <c r="G8">
        <v>1.3035000000000001</v>
      </c>
      <c r="H8">
        <v>1</v>
      </c>
      <c r="I8">
        <v>1.5612999999999999</v>
      </c>
      <c r="J8">
        <v>1.5736000000000001</v>
      </c>
      <c r="K8">
        <v>1.0377000000000001</v>
      </c>
      <c r="L8">
        <v>1.5745</v>
      </c>
      <c r="M8">
        <v>1.3496999999999999</v>
      </c>
      <c r="N8">
        <v>1.6198999999999999</v>
      </c>
      <c r="O8">
        <v>1.1559999999999999</v>
      </c>
      <c r="P8">
        <v>1.4025000000000001</v>
      </c>
      <c r="Q8">
        <v>1.8205</v>
      </c>
      <c r="R8">
        <v>1.3207</v>
      </c>
      <c r="S8">
        <v>1.7283999999999999</v>
      </c>
      <c r="T8">
        <v>1.8418000000000001</v>
      </c>
      <c r="U8">
        <v>1.4094</v>
      </c>
      <c r="V8">
        <v>1.4320999999999999</v>
      </c>
      <c r="W8">
        <v>1.5577000000000001</v>
      </c>
    </row>
    <row r="9" spans="1:23" x14ac:dyDescent="0.25">
      <c r="A9" t="s">
        <v>188</v>
      </c>
      <c r="B9">
        <v>1.4414</v>
      </c>
      <c r="C9">
        <v>1.4588000000000001</v>
      </c>
      <c r="D9">
        <v>1.5538000000000001</v>
      </c>
      <c r="E9">
        <v>1.4998</v>
      </c>
      <c r="F9">
        <v>1.5069999999999999</v>
      </c>
      <c r="G9">
        <v>1.4919</v>
      </c>
      <c r="H9">
        <v>1.5612999999999999</v>
      </c>
      <c r="I9">
        <v>1</v>
      </c>
      <c r="J9">
        <v>1.1074999999999999</v>
      </c>
      <c r="K9">
        <v>1.5313000000000001</v>
      </c>
      <c r="L9">
        <v>1.0591999999999999</v>
      </c>
      <c r="M9">
        <v>1.9098999999999999</v>
      </c>
      <c r="N9">
        <v>1.3002</v>
      </c>
      <c r="O9">
        <v>1.5820000000000001</v>
      </c>
      <c r="P9">
        <v>1.3848</v>
      </c>
      <c r="Q9">
        <v>1.4092</v>
      </c>
      <c r="R9">
        <v>1.4325000000000001</v>
      </c>
      <c r="S9">
        <v>1.2366999999999999</v>
      </c>
      <c r="T9">
        <v>1.2975000000000001</v>
      </c>
      <c r="U9">
        <v>1.7222999999999999</v>
      </c>
      <c r="V9">
        <v>1.9455</v>
      </c>
      <c r="W9">
        <v>1.4471000000000001</v>
      </c>
    </row>
    <row r="10" spans="1:23" x14ac:dyDescent="0.25">
      <c r="A10" t="s">
        <v>189</v>
      </c>
      <c r="B10">
        <v>1.3572</v>
      </c>
      <c r="C10">
        <v>1.3786</v>
      </c>
      <c r="D10">
        <v>1.4745999999999999</v>
      </c>
      <c r="E10">
        <v>1.4229000000000001</v>
      </c>
      <c r="F10">
        <v>1.4180999999999999</v>
      </c>
      <c r="G10">
        <v>1.419</v>
      </c>
      <c r="H10">
        <v>1.5736000000000001</v>
      </c>
      <c r="I10">
        <v>1.1074999999999999</v>
      </c>
      <c r="J10">
        <v>1</v>
      </c>
      <c r="K10">
        <v>1.5378000000000001</v>
      </c>
      <c r="L10">
        <v>1.0489999999999999</v>
      </c>
      <c r="M10">
        <v>1.8714</v>
      </c>
      <c r="N10">
        <v>1.1944999999999999</v>
      </c>
      <c r="O10">
        <v>1.6411</v>
      </c>
      <c r="P10">
        <v>1.2982</v>
      </c>
      <c r="Q10">
        <v>1.4636</v>
      </c>
      <c r="R10">
        <v>1.3614999999999999</v>
      </c>
      <c r="S10">
        <v>1.1696</v>
      </c>
      <c r="T10">
        <v>1.2686999999999999</v>
      </c>
      <c r="U10">
        <v>1.6232</v>
      </c>
      <c r="V10">
        <v>1.9915</v>
      </c>
      <c r="W10">
        <v>1.3396999999999999</v>
      </c>
    </row>
    <row r="11" spans="1:23" x14ac:dyDescent="0.25">
      <c r="A11" t="s">
        <v>190</v>
      </c>
      <c r="B11">
        <v>1.3385</v>
      </c>
      <c r="C11">
        <v>1.3153999999999999</v>
      </c>
      <c r="D11">
        <v>1.2927999999999999</v>
      </c>
      <c r="E11">
        <v>1.2907</v>
      </c>
      <c r="F11">
        <v>1.3463000000000001</v>
      </c>
      <c r="G11">
        <v>1.2759</v>
      </c>
      <c r="H11">
        <v>1.0377000000000001</v>
      </c>
      <c r="I11">
        <v>1.5313000000000001</v>
      </c>
      <c r="J11">
        <v>1.5378000000000001</v>
      </c>
      <c r="K11">
        <v>1</v>
      </c>
      <c r="L11">
        <v>1.5409999999999999</v>
      </c>
      <c r="M11">
        <v>1.3788</v>
      </c>
      <c r="N11">
        <v>1.5834999999999999</v>
      </c>
      <c r="O11">
        <v>1.1854</v>
      </c>
      <c r="P11">
        <v>1.3684000000000001</v>
      </c>
      <c r="Q11">
        <v>1.829</v>
      </c>
      <c r="R11">
        <v>1.2881</v>
      </c>
      <c r="S11">
        <v>1.6908000000000001</v>
      </c>
      <c r="T11">
        <v>1.8052999999999999</v>
      </c>
      <c r="U11">
        <v>1.4088000000000001</v>
      </c>
      <c r="V11">
        <v>1.4665999999999999</v>
      </c>
      <c r="W11">
        <v>1.5293000000000001</v>
      </c>
    </row>
    <row r="12" spans="1:23" x14ac:dyDescent="0.25">
      <c r="A12" t="s">
        <v>191</v>
      </c>
      <c r="B12">
        <v>1.3983000000000001</v>
      </c>
      <c r="C12">
        <v>1.4181999999999999</v>
      </c>
      <c r="D12">
        <v>1.5144</v>
      </c>
      <c r="E12">
        <v>1.4614</v>
      </c>
      <c r="F12">
        <v>1.4614</v>
      </c>
      <c r="G12">
        <v>1.4558</v>
      </c>
      <c r="H12">
        <v>1.5745</v>
      </c>
      <c r="I12">
        <v>1.0591999999999999</v>
      </c>
      <c r="J12">
        <v>1.0489999999999999</v>
      </c>
      <c r="K12">
        <v>1.5409999999999999</v>
      </c>
      <c r="L12">
        <v>1</v>
      </c>
      <c r="M12">
        <v>1.9028</v>
      </c>
      <c r="N12">
        <v>1.2412000000000001</v>
      </c>
      <c r="O12">
        <v>1.6202000000000001</v>
      </c>
      <c r="P12">
        <v>1.3399000000000001</v>
      </c>
      <c r="Q12">
        <v>1.4331</v>
      </c>
      <c r="R12">
        <v>1.3971</v>
      </c>
      <c r="S12">
        <v>1.1915</v>
      </c>
      <c r="T12">
        <v>1.2726</v>
      </c>
      <c r="U12">
        <v>1.6706000000000001</v>
      </c>
      <c r="V12">
        <v>2</v>
      </c>
      <c r="W12">
        <v>1.3886000000000001</v>
      </c>
    </row>
    <row r="13" spans="1:23" x14ac:dyDescent="0.25">
      <c r="A13" t="s">
        <v>192</v>
      </c>
      <c r="B13">
        <v>1.516</v>
      </c>
      <c r="C13">
        <v>1.4936</v>
      </c>
      <c r="D13">
        <v>1.3980999999999999</v>
      </c>
      <c r="E13">
        <v>1.4490000000000001</v>
      </c>
      <c r="F13">
        <v>1.4582999999999999</v>
      </c>
      <c r="G13">
        <v>1.4524999999999999</v>
      </c>
      <c r="H13">
        <v>1.3496999999999999</v>
      </c>
      <c r="I13">
        <v>1.9098999999999999</v>
      </c>
      <c r="J13">
        <v>1.8714</v>
      </c>
      <c r="K13">
        <v>1.3788</v>
      </c>
      <c r="L13">
        <v>1.9028</v>
      </c>
      <c r="M13">
        <v>1</v>
      </c>
      <c r="N13">
        <v>1.7325999999999999</v>
      </c>
      <c r="O13">
        <v>1.3517999999999999</v>
      </c>
      <c r="P13">
        <v>1.5751999999999999</v>
      </c>
      <c r="Q13">
        <v>1.7235</v>
      </c>
      <c r="R13">
        <v>1.5099</v>
      </c>
      <c r="S13">
        <v>1.8549</v>
      </c>
      <c r="T13">
        <v>1.8393999999999999</v>
      </c>
      <c r="U13">
        <v>1.2738</v>
      </c>
      <c r="V13">
        <v>1.1204000000000001</v>
      </c>
      <c r="W13">
        <v>1.5753999999999999</v>
      </c>
    </row>
    <row r="14" spans="1:23" x14ac:dyDescent="0.25">
      <c r="A14" t="s">
        <v>193</v>
      </c>
      <c r="B14">
        <v>1.2708999999999999</v>
      </c>
      <c r="C14">
        <v>1.2975000000000001</v>
      </c>
      <c r="D14">
        <v>1.3743000000000001</v>
      </c>
      <c r="E14">
        <v>1.339</v>
      </c>
      <c r="F14">
        <v>1.3045</v>
      </c>
      <c r="G14">
        <v>1.3453999999999999</v>
      </c>
      <c r="H14">
        <v>1.6198999999999999</v>
      </c>
      <c r="I14">
        <v>1.3002</v>
      </c>
      <c r="J14">
        <v>1.1944999999999999</v>
      </c>
      <c r="K14">
        <v>1.5834999999999999</v>
      </c>
      <c r="L14">
        <v>1.2412000000000001</v>
      </c>
      <c r="M14">
        <v>1.7325999999999999</v>
      </c>
      <c r="N14">
        <v>1</v>
      </c>
      <c r="O14">
        <v>1.7543</v>
      </c>
      <c r="P14">
        <v>1.2235</v>
      </c>
      <c r="Q14">
        <v>1.5327999999999999</v>
      </c>
      <c r="R14">
        <v>1.3080000000000001</v>
      </c>
      <c r="S14">
        <v>1.1500999999999999</v>
      </c>
      <c r="T14">
        <v>1.2577</v>
      </c>
      <c r="U14">
        <v>1.4588000000000001</v>
      </c>
      <c r="V14">
        <v>1.8126</v>
      </c>
      <c r="W14">
        <v>1.1573</v>
      </c>
    </row>
    <row r="15" spans="1:23" x14ac:dyDescent="0.25">
      <c r="A15" t="s">
        <v>194</v>
      </c>
      <c r="B15">
        <v>1.5239</v>
      </c>
      <c r="C15">
        <v>1.5005999999999999</v>
      </c>
      <c r="D15">
        <v>1.4663999999999999</v>
      </c>
      <c r="E15">
        <v>1.4733000000000001</v>
      </c>
      <c r="F15">
        <v>1.5269999999999999</v>
      </c>
      <c r="G15">
        <v>1.4595</v>
      </c>
      <c r="H15">
        <v>1.1559999999999999</v>
      </c>
      <c r="I15">
        <v>1.5820000000000001</v>
      </c>
      <c r="J15">
        <v>1.6411</v>
      </c>
      <c r="K15">
        <v>1.1854</v>
      </c>
      <c r="L15">
        <v>1.6202000000000001</v>
      </c>
      <c r="M15">
        <v>1.3517999999999999</v>
      </c>
      <c r="N15">
        <v>1.7543</v>
      </c>
      <c r="O15">
        <v>1</v>
      </c>
      <c r="P15">
        <v>1.5516000000000001</v>
      </c>
      <c r="Q15">
        <v>1.6780999999999999</v>
      </c>
      <c r="R15">
        <v>1.4732000000000001</v>
      </c>
      <c r="S15">
        <v>1.8102</v>
      </c>
      <c r="T15">
        <v>1.8669</v>
      </c>
      <c r="U15">
        <v>1.5226</v>
      </c>
      <c r="V15">
        <v>1.3804000000000001</v>
      </c>
      <c r="W15">
        <v>1.7137</v>
      </c>
    </row>
    <row r="16" spans="1:23" x14ac:dyDescent="0.25">
      <c r="A16" t="s">
        <v>195</v>
      </c>
      <c r="B16">
        <v>1.0591999999999999</v>
      </c>
      <c r="C16">
        <v>1.0828</v>
      </c>
      <c r="D16">
        <v>1.177</v>
      </c>
      <c r="E16">
        <v>1.1278999999999999</v>
      </c>
      <c r="F16">
        <v>1.1222000000000001</v>
      </c>
      <c r="G16">
        <v>1.1287</v>
      </c>
      <c r="H16">
        <v>1.4025000000000001</v>
      </c>
      <c r="I16">
        <v>1.3848</v>
      </c>
      <c r="J16">
        <v>1.2982</v>
      </c>
      <c r="K16">
        <v>1.3684000000000001</v>
      </c>
      <c r="L16">
        <v>1.3399000000000001</v>
      </c>
      <c r="M16">
        <v>1.5751999999999999</v>
      </c>
      <c r="N16">
        <v>1.2235</v>
      </c>
      <c r="O16">
        <v>1.5516000000000001</v>
      </c>
      <c r="P16">
        <v>1</v>
      </c>
      <c r="Q16">
        <v>1.7452000000000001</v>
      </c>
      <c r="R16">
        <v>1.0846</v>
      </c>
      <c r="S16">
        <v>1.3635999999999999</v>
      </c>
      <c r="T16">
        <v>1.4792000000000001</v>
      </c>
      <c r="U16">
        <v>1.3405</v>
      </c>
      <c r="V16">
        <v>1.6935</v>
      </c>
      <c r="W16">
        <v>1.1816</v>
      </c>
    </row>
    <row r="17" spans="1:23" x14ac:dyDescent="0.25">
      <c r="A17" t="s">
        <v>196</v>
      </c>
      <c r="B17">
        <v>1.8007</v>
      </c>
      <c r="C17">
        <v>1.8268</v>
      </c>
      <c r="D17">
        <v>1.9043000000000001</v>
      </c>
      <c r="E17">
        <v>1.8707</v>
      </c>
      <c r="F17">
        <v>1.8345</v>
      </c>
      <c r="G17">
        <v>1.8738999999999999</v>
      </c>
      <c r="H17">
        <v>1.8205</v>
      </c>
      <c r="I17">
        <v>1.4092</v>
      </c>
      <c r="J17">
        <v>1.4636</v>
      </c>
      <c r="K17">
        <v>1.829</v>
      </c>
      <c r="L17">
        <v>1.4331</v>
      </c>
      <c r="M17">
        <v>1.7235</v>
      </c>
      <c r="N17">
        <v>1.5327999999999999</v>
      </c>
      <c r="O17">
        <v>1.6780999999999999</v>
      </c>
      <c r="P17">
        <v>1.7452000000000001</v>
      </c>
      <c r="Q17">
        <v>1</v>
      </c>
      <c r="R17">
        <v>1.8222</v>
      </c>
      <c r="S17">
        <v>1.3848</v>
      </c>
      <c r="T17">
        <v>1.2774000000000001</v>
      </c>
      <c r="U17">
        <v>1.8189</v>
      </c>
      <c r="V17">
        <v>1.6039000000000001</v>
      </c>
      <c r="W17">
        <v>1.6504000000000001</v>
      </c>
    </row>
    <row r="18" spans="1:23" x14ac:dyDescent="0.25">
      <c r="A18" t="s">
        <v>197</v>
      </c>
      <c r="B18">
        <v>1.0547</v>
      </c>
      <c r="C18">
        <v>1.0430999999999999</v>
      </c>
      <c r="D18">
        <v>1.1229</v>
      </c>
      <c r="E18">
        <v>1.0690999999999999</v>
      </c>
      <c r="F18">
        <v>1.1032</v>
      </c>
      <c r="G18">
        <v>1.0593999999999999</v>
      </c>
      <c r="H18">
        <v>1.3207</v>
      </c>
      <c r="I18">
        <v>1.4325000000000001</v>
      </c>
      <c r="J18">
        <v>1.3614999999999999</v>
      </c>
      <c r="K18">
        <v>1.2881</v>
      </c>
      <c r="L18">
        <v>1.3971</v>
      </c>
      <c r="M18">
        <v>1.5099</v>
      </c>
      <c r="N18">
        <v>1.3080000000000001</v>
      </c>
      <c r="O18">
        <v>1.4732000000000001</v>
      </c>
      <c r="P18">
        <v>1.0846</v>
      </c>
      <c r="Q18">
        <v>1.8222</v>
      </c>
      <c r="R18">
        <v>1</v>
      </c>
      <c r="S18">
        <v>1.4463999999999999</v>
      </c>
      <c r="T18">
        <v>1.5631999999999999</v>
      </c>
      <c r="U18">
        <v>1.3117000000000001</v>
      </c>
      <c r="V18">
        <v>1.6303000000000001</v>
      </c>
      <c r="W18">
        <v>1.2464999999999999</v>
      </c>
    </row>
    <row r="19" spans="1:23" x14ac:dyDescent="0.25">
      <c r="A19" t="s">
        <v>198</v>
      </c>
      <c r="B19">
        <v>1.4162999999999999</v>
      </c>
      <c r="C19">
        <v>1.4427000000000001</v>
      </c>
      <c r="D19">
        <v>1.524</v>
      </c>
      <c r="E19">
        <v>1.486</v>
      </c>
      <c r="F19">
        <v>1.4542999999999999</v>
      </c>
      <c r="G19">
        <v>1.4904999999999999</v>
      </c>
      <c r="H19">
        <v>1.7283999999999999</v>
      </c>
      <c r="I19">
        <v>1.2366999999999999</v>
      </c>
      <c r="J19">
        <v>1.1696</v>
      </c>
      <c r="K19">
        <v>1.6908000000000001</v>
      </c>
      <c r="L19">
        <v>1.1915</v>
      </c>
      <c r="M19">
        <v>1.8549</v>
      </c>
      <c r="N19">
        <v>1.1500999999999999</v>
      </c>
      <c r="O19">
        <v>1.8102</v>
      </c>
      <c r="P19">
        <v>1.3635999999999999</v>
      </c>
      <c r="Q19">
        <v>1.3848</v>
      </c>
      <c r="R19">
        <v>1.4463999999999999</v>
      </c>
      <c r="S19">
        <v>1</v>
      </c>
      <c r="T19">
        <v>1.1197999999999999</v>
      </c>
      <c r="U19">
        <v>1.5925</v>
      </c>
      <c r="V19">
        <v>1.8683000000000001</v>
      </c>
      <c r="W19">
        <v>1.2957000000000001</v>
      </c>
    </row>
    <row r="20" spans="1:23" x14ac:dyDescent="0.25">
      <c r="A20" t="s">
        <v>199</v>
      </c>
      <c r="B20">
        <v>1.5285</v>
      </c>
      <c r="C20">
        <v>1.5551999999999999</v>
      </c>
      <c r="D20">
        <v>1.6273</v>
      </c>
      <c r="E20">
        <v>1.5962000000000001</v>
      </c>
      <c r="F20">
        <v>1.5571999999999999</v>
      </c>
      <c r="G20">
        <v>1.603</v>
      </c>
      <c r="H20">
        <v>1.8418000000000001</v>
      </c>
      <c r="I20">
        <v>1.2975000000000001</v>
      </c>
      <c r="J20">
        <v>1.2686999999999999</v>
      </c>
      <c r="K20">
        <v>1.8052999999999999</v>
      </c>
      <c r="L20">
        <v>1.2726</v>
      </c>
      <c r="M20">
        <v>1.8393999999999999</v>
      </c>
      <c r="N20">
        <v>1.2577</v>
      </c>
      <c r="O20">
        <v>1.8669</v>
      </c>
      <c r="P20">
        <v>1.4792000000000001</v>
      </c>
      <c r="Q20">
        <v>1.2774000000000001</v>
      </c>
      <c r="R20">
        <v>1.5631999999999999</v>
      </c>
      <c r="S20">
        <v>1.1197999999999999</v>
      </c>
      <c r="T20">
        <v>1</v>
      </c>
      <c r="U20">
        <v>1.6445000000000001</v>
      </c>
      <c r="V20">
        <v>1.7831999999999999</v>
      </c>
      <c r="W20">
        <v>1.3787</v>
      </c>
    </row>
    <row r="21" spans="1:23" x14ac:dyDescent="0.25">
      <c r="A21" t="s">
        <v>200</v>
      </c>
      <c r="B21">
        <v>1.2877000000000001</v>
      </c>
      <c r="C21">
        <v>1.2758</v>
      </c>
      <c r="D21">
        <v>1.1923999999999999</v>
      </c>
      <c r="E21">
        <v>1.2433000000000001</v>
      </c>
      <c r="F21">
        <v>1.2201</v>
      </c>
      <c r="G21">
        <v>1.2567999999999999</v>
      </c>
      <c r="H21">
        <v>1.4094</v>
      </c>
      <c r="I21">
        <v>1.7222999999999999</v>
      </c>
      <c r="J21">
        <v>1.6232</v>
      </c>
      <c r="K21">
        <v>1.4088000000000001</v>
      </c>
      <c r="L21">
        <v>1.6706000000000001</v>
      </c>
      <c r="M21">
        <v>1.2738</v>
      </c>
      <c r="N21">
        <v>1.4588000000000001</v>
      </c>
      <c r="O21">
        <v>1.5226</v>
      </c>
      <c r="P21">
        <v>1.3405</v>
      </c>
      <c r="Q21">
        <v>1.8189</v>
      </c>
      <c r="R21">
        <v>1.3117000000000001</v>
      </c>
      <c r="S21">
        <v>1.5925</v>
      </c>
      <c r="T21">
        <v>1.6445000000000001</v>
      </c>
      <c r="U21">
        <v>1</v>
      </c>
      <c r="V21">
        <v>1.3716999999999999</v>
      </c>
      <c r="W21">
        <v>1.3018000000000001</v>
      </c>
    </row>
    <row r="22" spans="1:23" x14ac:dyDescent="0.25">
      <c r="A22" t="s">
        <v>201</v>
      </c>
      <c r="B22">
        <v>1.6344000000000001</v>
      </c>
      <c r="C22">
        <v>1.6129</v>
      </c>
      <c r="D22">
        <v>1.5168999999999999</v>
      </c>
      <c r="E22">
        <v>1.5687</v>
      </c>
      <c r="F22">
        <v>1.5739000000000001</v>
      </c>
      <c r="G22">
        <v>1.5727</v>
      </c>
      <c r="H22">
        <v>1.4320999999999999</v>
      </c>
      <c r="I22">
        <v>1.9455</v>
      </c>
      <c r="J22">
        <v>1.9915</v>
      </c>
      <c r="K22">
        <v>1.4665999999999999</v>
      </c>
      <c r="L22">
        <v>2</v>
      </c>
      <c r="M22">
        <v>1.1204000000000001</v>
      </c>
      <c r="N22">
        <v>1.8126</v>
      </c>
      <c r="O22">
        <v>1.3804000000000001</v>
      </c>
      <c r="P22">
        <v>1.6935</v>
      </c>
      <c r="Q22">
        <v>1.6039000000000001</v>
      </c>
      <c r="R22">
        <v>1.6303000000000001</v>
      </c>
      <c r="S22">
        <v>1.8683000000000001</v>
      </c>
      <c r="T22">
        <v>1.7831999999999999</v>
      </c>
      <c r="U22">
        <v>1.3716999999999999</v>
      </c>
      <c r="V22">
        <v>1</v>
      </c>
      <c r="W22">
        <v>1.6614</v>
      </c>
    </row>
    <row r="23" spans="1:23" x14ac:dyDescent="0.25">
      <c r="A23" t="s">
        <v>202</v>
      </c>
      <c r="B23">
        <v>1.1928000000000001</v>
      </c>
      <c r="C23">
        <v>1.2142999999999999</v>
      </c>
      <c r="D23">
        <v>1.2552000000000001</v>
      </c>
      <c r="E23">
        <v>1.2406999999999999</v>
      </c>
      <c r="F23">
        <v>1.1889000000000001</v>
      </c>
      <c r="G23">
        <v>1.2542</v>
      </c>
      <c r="H23">
        <v>1.5577000000000001</v>
      </c>
      <c r="I23">
        <v>1.4471000000000001</v>
      </c>
      <c r="J23">
        <v>1.3396999999999999</v>
      </c>
      <c r="K23">
        <v>1.5293000000000001</v>
      </c>
      <c r="L23">
        <v>1.3886000000000001</v>
      </c>
      <c r="M23">
        <v>1.5753999999999999</v>
      </c>
      <c r="N23">
        <v>1.1573</v>
      </c>
      <c r="O23">
        <v>1.7137</v>
      </c>
      <c r="P23">
        <v>1.1816</v>
      </c>
      <c r="Q23">
        <v>1.6504000000000001</v>
      </c>
      <c r="R23">
        <v>1.2464999999999999</v>
      </c>
      <c r="S23">
        <v>1.2957000000000001</v>
      </c>
      <c r="T23">
        <v>1.3787</v>
      </c>
      <c r="U23">
        <v>1.3018000000000001</v>
      </c>
      <c r="V23">
        <v>1.6614</v>
      </c>
      <c r="W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AE06-8A4C-4CE9-BEA7-EDD7F588B8EB}">
  <dimension ref="A1:C1299"/>
  <sheetViews>
    <sheetView tabSelected="1" workbookViewId="0">
      <selection activeCell="C2" sqref="C2:C1299"/>
    </sheetView>
  </sheetViews>
  <sheetFormatPr defaultRowHeight="15" x14ac:dyDescent="0.25"/>
  <sheetData>
    <row r="1" spans="1:3" x14ac:dyDescent="0.25">
      <c r="A1" t="s">
        <v>210</v>
      </c>
      <c r="B1" t="s">
        <v>211</v>
      </c>
      <c r="C1" t="s">
        <v>212</v>
      </c>
    </row>
    <row r="2" spans="1:3" x14ac:dyDescent="0.25">
      <c r="A2" t="s">
        <v>196</v>
      </c>
      <c r="B2" t="s">
        <v>0</v>
      </c>
      <c r="C2" s="4">
        <v>0</v>
      </c>
    </row>
    <row r="3" spans="1:3" x14ac:dyDescent="0.25">
      <c r="A3" t="s">
        <v>196</v>
      </c>
      <c r="B3" t="s">
        <v>2</v>
      </c>
      <c r="C3" s="4">
        <v>0</v>
      </c>
    </row>
    <row r="4" spans="1:3" x14ac:dyDescent="0.25">
      <c r="A4" t="s">
        <v>196</v>
      </c>
      <c r="B4" t="s">
        <v>4</v>
      </c>
      <c r="C4" s="4">
        <v>0</v>
      </c>
    </row>
    <row r="5" spans="1:3" x14ac:dyDescent="0.25">
      <c r="A5" t="s">
        <v>196</v>
      </c>
      <c r="B5" t="s">
        <v>6</v>
      </c>
      <c r="C5" s="4">
        <v>0</v>
      </c>
    </row>
    <row r="6" spans="1:3" x14ac:dyDescent="0.25">
      <c r="A6" t="s">
        <v>196</v>
      </c>
      <c r="B6" t="s">
        <v>8</v>
      </c>
      <c r="C6" s="4">
        <v>0.1</v>
      </c>
    </row>
    <row r="7" spans="1:3" x14ac:dyDescent="0.25">
      <c r="A7" t="s">
        <v>196</v>
      </c>
      <c r="B7" t="s">
        <v>10</v>
      </c>
      <c r="C7" s="4">
        <v>0.1</v>
      </c>
    </row>
    <row r="8" spans="1:3" x14ac:dyDescent="0.25">
      <c r="A8" t="s">
        <v>196</v>
      </c>
      <c r="B8" t="s">
        <v>12</v>
      </c>
      <c r="C8" s="4">
        <v>0.1</v>
      </c>
    </row>
    <row r="9" spans="1:3" x14ac:dyDescent="0.25">
      <c r="A9" t="s">
        <v>196</v>
      </c>
      <c r="B9" t="s">
        <v>14</v>
      </c>
      <c r="C9" s="4">
        <v>0.1</v>
      </c>
    </row>
    <row r="10" spans="1:3" x14ac:dyDescent="0.25">
      <c r="A10" t="s">
        <v>196</v>
      </c>
      <c r="B10" t="s">
        <v>16</v>
      </c>
      <c r="C10" s="4">
        <v>0</v>
      </c>
    </row>
    <row r="11" spans="1:3" x14ac:dyDescent="0.25">
      <c r="A11" t="s">
        <v>196</v>
      </c>
      <c r="B11" t="s">
        <v>18</v>
      </c>
      <c r="C11" s="4">
        <v>0.1</v>
      </c>
    </row>
    <row r="12" spans="1:3" x14ac:dyDescent="0.25">
      <c r="A12" t="s">
        <v>196</v>
      </c>
      <c r="B12" t="s">
        <v>20</v>
      </c>
      <c r="C12" s="4">
        <v>0.1</v>
      </c>
    </row>
    <row r="13" spans="1:3" x14ac:dyDescent="0.25">
      <c r="A13" t="s">
        <v>196</v>
      </c>
      <c r="B13" t="s">
        <v>22</v>
      </c>
      <c r="C13" s="4">
        <v>0.1</v>
      </c>
    </row>
    <row r="14" spans="1:3" x14ac:dyDescent="0.25">
      <c r="A14" t="s">
        <v>196</v>
      </c>
      <c r="B14" t="s">
        <v>24</v>
      </c>
      <c r="C14" s="4">
        <v>0.1</v>
      </c>
    </row>
    <row r="15" spans="1:3" x14ac:dyDescent="0.25">
      <c r="A15" t="s">
        <v>196</v>
      </c>
      <c r="B15" t="s">
        <v>26</v>
      </c>
      <c r="C15" s="4">
        <v>0.1</v>
      </c>
    </row>
    <row r="16" spans="1:3" x14ac:dyDescent="0.25">
      <c r="A16" t="s">
        <v>196</v>
      </c>
      <c r="B16" t="s">
        <v>28</v>
      </c>
      <c r="C16" s="4">
        <v>0.1</v>
      </c>
    </row>
    <row r="17" spans="1:3" x14ac:dyDescent="0.25">
      <c r="A17" t="s">
        <v>196</v>
      </c>
      <c r="B17" t="s">
        <v>30</v>
      </c>
      <c r="C17" s="4">
        <v>0.1</v>
      </c>
    </row>
    <row r="18" spans="1:3" x14ac:dyDescent="0.25">
      <c r="A18" t="s">
        <v>196</v>
      </c>
      <c r="B18" t="s">
        <v>32</v>
      </c>
      <c r="C18" s="4">
        <v>0.1</v>
      </c>
    </row>
    <row r="19" spans="1:3" x14ac:dyDescent="0.25">
      <c r="A19" t="s">
        <v>196</v>
      </c>
      <c r="B19" t="s">
        <v>34</v>
      </c>
      <c r="C19" s="4">
        <v>0.1</v>
      </c>
    </row>
    <row r="20" spans="1:3" x14ac:dyDescent="0.25">
      <c r="A20" t="s">
        <v>196</v>
      </c>
      <c r="B20" t="s">
        <v>36</v>
      </c>
      <c r="C20" s="4">
        <v>0.1</v>
      </c>
    </row>
    <row r="21" spans="1:3" x14ac:dyDescent="0.25">
      <c r="A21" t="s">
        <v>196</v>
      </c>
      <c r="B21" t="s">
        <v>38</v>
      </c>
      <c r="C21" s="4">
        <v>0.1</v>
      </c>
    </row>
    <row r="22" spans="1:3" x14ac:dyDescent="0.25">
      <c r="A22" t="s">
        <v>196</v>
      </c>
      <c r="B22" t="s">
        <v>40</v>
      </c>
      <c r="C22" s="4">
        <v>0.1</v>
      </c>
    </row>
    <row r="23" spans="1:3" x14ac:dyDescent="0.25">
      <c r="A23" t="s">
        <v>196</v>
      </c>
      <c r="B23" t="s">
        <v>42</v>
      </c>
      <c r="C23" s="4">
        <v>0.1</v>
      </c>
    </row>
    <row r="24" spans="1:3" x14ac:dyDescent="0.25">
      <c r="A24" t="s">
        <v>196</v>
      </c>
      <c r="B24" t="s">
        <v>44</v>
      </c>
      <c r="C24" s="4">
        <v>0.1</v>
      </c>
    </row>
    <row r="25" spans="1:3" x14ac:dyDescent="0.25">
      <c r="A25" t="s">
        <v>196</v>
      </c>
      <c r="B25" t="s">
        <v>46</v>
      </c>
      <c r="C25" s="4">
        <v>0.1</v>
      </c>
    </row>
    <row r="26" spans="1:3" x14ac:dyDescent="0.25">
      <c r="A26" t="s">
        <v>196</v>
      </c>
      <c r="B26" t="s">
        <v>48</v>
      </c>
      <c r="C26" s="4">
        <v>0.1</v>
      </c>
    </row>
    <row r="27" spans="1:3" x14ac:dyDescent="0.25">
      <c r="A27" t="s">
        <v>196</v>
      </c>
      <c r="B27" t="s">
        <v>50</v>
      </c>
      <c r="C27" s="4">
        <v>0.1</v>
      </c>
    </row>
    <row r="28" spans="1:3" x14ac:dyDescent="0.25">
      <c r="A28" t="s">
        <v>196</v>
      </c>
      <c r="B28" t="s">
        <v>52</v>
      </c>
      <c r="C28" s="4">
        <v>0.1</v>
      </c>
    </row>
    <row r="29" spans="1:3" x14ac:dyDescent="0.25">
      <c r="A29" t="s">
        <v>196</v>
      </c>
      <c r="B29" t="s">
        <v>54</v>
      </c>
      <c r="C29" s="4">
        <v>0.1</v>
      </c>
    </row>
    <row r="30" spans="1:3" x14ac:dyDescent="0.25">
      <c r="A30" t="s">
        <v>196</v>
      </c>
      <c r="B30" t="s">
        <v>56</v>
      </c>
      <c r="C30" s="4">
        <v>0.1</v>
      </c>
    </row>
    <row r="31" spans="1:3" x14ac:dyDescent="0.25">
      <c r="A31" t="s">
        <v>196</v>
      </c>
      <c r="B31" t="s">
        <v>58</v>
      </c>
      <c r="C31" s="4">
        <v>0.1</v>
      </c>
    </row>
    <row r="32" spans="1:3" x14ac:dyDescent="0.25">
      <c r="A32" t="s">
        <v>196</v>
      </c>
      <c r="B32" t="s">
        <v>60</v>
      </c>
      <c r="C32" s="4">
        <v>0.1</v>
      </c>
    </row>
    <row r="33" spans="1:3" x14ac:dyDescent="0.25">
      <c r="A33" t="s">
        <v>196</v>
      </c>
      <c r="B33" t="s">
        <v>62</v>
      </c>
      <c r="C33" s="4">
        <v>0.1</v>
      </c>
    </row>
    <row r="34" spans="1:3" x14ac:dyDescent="0.25">
      <c r="A34" t="s">
        <v>196</v>
      </c>
      <c r="B34" t="s">
        <v>64</v>
      </c>
      <c r="C34" s="4">
        <v>0.1</v>
      </c>
    </row>
    <row r="35" spans="1:3" x14ac:dyDescent="0.25">
      <c r="A35" t="s">
        <v>196</v>
      </c>
      <c r="B35" t="s">
        <v>66</v>
      </c>
      <c r="C35" s="4">
        <v>0</v>
      </c>
    </row>
    <row r="36" spans="1:3" x14ac:dyDescent="0.25">
      <c r="A36" t="s">
        <v>196</v>
      </c>
      <c r="B36" t="s">
        <v>68</v>
      </c>
      <c r="C36" s="4">
        <v>0.1</v>
      </c>
    </row>
    <row r="37" spans="1:3" x14ac:dyDescent="0.25">
      <c r="A37" t="s">
        <v>196</v>
      </c>
      <c r="B37" t="s">
        <v>70</v>
      </c>
      <c r="C37" s="4">
        <v>0.1</v>
      </c>
    </row>
    <row r="38" spans="1:3" x14ac:dyDescent="0.25">
      <c r="A38" t="s">
        <v>196</v>
      </c>
      <c r="B38" t="s">
        <v>72</v>
      </c>
      <c r="C38" s="4">
        <v>0.1</v>
      </c>
    </row>
    <row r="39" spans="1:3" x14ac:dyDescent="0.25">
      <c r="A39" t="s">
        <v>196</v>
      </c>
      <c r="B39" t="s">
        <v>74</v>
      </c>
      <c r="C39" s="4">
        <v>0.1</v>
      </c>
    </row>
    <row r="40" spans="1:3" x14ac:dyDescent="0.25">
      <c r="A40" t="s">
        <v>196</v>
      </c>
      <c r="B40" t="s">
        <v>76</v>
      </c>
      <c r="C40" s="4">
        <v>0.1</v>
      </c>
    </row>
    <row r="41" spans="1:3" x14ac:dyDescent="0.25">
      <c r="A41" t="s">
        <v>196</v>
      </c>
      <c r="B41" t="s">
        <v>78</v>
      </c>
      <c r="C41" s="4">
        <v>0</v>
      </c>
    </row>
    <row r="42" spans="1:3" x14ac:dyDescent="0.25">
      <c r="A42" t="s">
        <v>196</v>
      </c>
      <c r="B42" t="s">
        <v>80</v>
      </c>
      <c r="C42" s="4">
        <v>0.1</v>
      </c>
    </row>
    <row r="43" spans="1:3" x14ac:dyDescent="0.25">
      <c r="A43" t="s">
        <v>196</v>
      </c>
      <c r="B43" t="s">
        <v>82</v>
      </c>
      <c r="C43" s="4">
        <v>0.1</v>
      </c>
    </row>
    <row r="44" spans="1:3" x14ac:dyDescent="0.25">
      <c r="A44" t="s">
        <v>196</v>
      </c>
      <c r="B44" t="s">
        <v>84</v>
      </c>
      <c r="C44" s="4">
        <v>0.1</v>
      </c>
    </row>
    <row r="45" spans="1:3" x14ac:dyDescent="0.25">
      <c r="A45" t="s">
        <v>196</v>
      </c>
      <c r="B45" t="s">
        <v>86</v>
      </c>
      <c r="C45" s="4">
        <v>0.1</v>
      </c>
    </row>
    <row r="46" spans="1:3" x14ac:dyDescent="0.25">
      <c r="A46" t="s">
        <v>196</v>
      </c>
      <c r="B46" t="s">
        <v>88</v>
      </c>
      <c r="C46" s="4">
        <v>0.1</v>
      </c>
    </row>
    <row r="47" spans="1:3" x14ac:dyDescent="0.25">
      <c r="A47" t="s">
        <v>196</v>
      </c>
      <c r="B47" t="s">
        <v>90</v>
      </c>
      <c r="C47" s="4">
        <v>0.1</v>
      </c>
    </row>
    <row r="48" spans="1:3" x14ac:dyDescent="0.25">
      <c r="A48" t="s">
        <v>196</v>
      </c>
      <c r="B48" t="s">
        <v>92</v>
      </c>
      <c r="C48" s="4">
        <v>0.1</v>
      </c>
    </row>
    <row r="49" spans="1:3" x14ac:dyDescent="0.25">
      <c r="A49" t="s">
        <v>196</v>
      </c>
      <c r="B49" t="s">
        <v>94</v>
      </c>
      <c r="C49" s="4">
        <v>0.1</v>
      </c>
    </row>
    <row r="50" spans="1:3" x14ac:dyDescent="0.25">
      <c r="A50" t="s">
        <v>196</v>
      </c>
      <c r="B50" t="s">
        <v>96</v>
      </c>
      <c r="C50" s="4">
        <v>0.1</v>
      </c>
    </row>
    <row r="51" spans="1:3" x14ac:dyDescent="0.25">
      <c r="A51" t="s">
        <v>196</v>
      </c>
      <c r="B51" t="s">
        <v>98</v>
      </c>
      <c r="C51" s="4">
        <v>0.1</v>
      </c>
    </row>
    <row r="52" spans="1:3" x14ac:dyDescent="0.25">
      <c r="A52" t="s">
        <v>196</v>
      </c>
      <c r="B52" t="s">
        <v>100</v>
      </c>
      <c r="C52" s="4">
        <v>0.1</v>
      </c>
    </row>
    <row r="53" spans="1:3" x14ac:dyDescent="0.25">
      <c r="A53" t="s">
        <v>196</v>
      </c>
      <c r="B53" t="s">
        <v>102</v>
      </c>
      <c r="C53" s="4">
        <v>0.1</v>
      </c>
    </row>
    <row r="54" spans="1:3" x14ac:dyDescent="0.25">
      <c r="A54" t="s">
        <v>196</v>
      </c>
      <c r="B54" t="s">
        <v>104</v>
      </c>
      <c r="C54" s="4">
        <v>0.1</v>
      </c>
    </row>
    <row r="55" spans="1:3" x14ac:dyDescent="0.25">
      <c r="A55" t="s">
        <v>196</v>
      </c>
      <c r="B55" t="s">
        <v>106</v>
      </c>
      <c r="C55" s="4">
        <v>0.1</v>
      </c>
    </row>
    <row r="56" spans="1:3" x14ac:dyDescent="0.25">
      <c r="A56" t="s">
        <v>196</v>
      </c>
      <c r="B56" t="s">
        <v>108</v>
      </c>
      <c r="C56" s="4">
        <v>0.1</v>
      </c>
    </row>
    <row r="57" spans="1:3" x14ac:dyDescent="0.25">
      <c r="A57" t="s">
        <v>196</v>
      </c>
      <c r="B57" t="s">
        <v>110</v>
      </c>
      <c r="C57" s="4">
        <v>0.1</v>
      </c>
    </row>
    <row r="58" spans="1:3" x14ac:dyDescent="0.25">
      <c r="A58" t="s">
        <v>196</v>
      </c>
      <c r="B58" t="s">
        <v>112</v>
      </c>
      <c r="C58" s="4">
        <v>0.1</v>
      </c>
    </row>
    <row r="59" spans="1:3" x14ac:dyDescent="0.25">
      <c r="A59" t="s">
        <v>196</v>
      </c>
      <c r="B59" t="s">
        <v>114</v>
      </c>
      <c r="C59" s="4">
        <v>0</v>
      </c>
    </row>
    <row r="60" spans="1:3" x14ac:dyDescent="0.25">
      <c r="A60" t="s">
        <v>196</v>
      </c>
      <c r="B60" t="s">
        <v>116</v>
      </c>
      <c r="C60" s="4">
        <v>0.1</v>
      </c>
    </row>
    <row r="61" spans="1:3" x14ac:dyDescent="0.25">
      <c r="A61" t="s">
        <v>192</v>
      </c>
      <c r="B61" t="s">
        <v>0</v>
      </c>
      <c r="C61" s="4">
        <v>0.1</v>
      </c>
    </row>
    <row r="62" spans="1:3" x14ac:dyDescent="0.25">
      <c r="A62" t="s">
        <v>192</v>
      </c>
      <c r="B62" t="s">
        <v>2</v>
      </c>
      <c r="C62" s="4">
        <v>0.1</v>
      </c>
    </row>
    <row r="63" spans="1:3" x14ac:dyDescent="0.25">
      <c r="A63" t="s">
        <v>192</v>
      </c>
      <c r="B63" t="s">
        <v>4</v>
      </c>
      <c r="C63" s="4">
        <v>0.1</v>
      </c>
    </row>
    <row r="64" spans="1:3" x14ac:dyDescent="0.25">
      <c r="A64" t="s">
        <v>192</v>
      </c>
      <c r="B64" t="s">
        <v>6</v>
      </c>
      <c r="C64" s="4">
        <v>0.1</v>
      </c>
    </row>
    <row r="65" spans="1:3" x14ac:dyDescent="0.25">
      <c r="A65" t="s">
        <v>192</v>
      </c>
      <c r="B65" t="s">
        <v>8</v>
      </c>
      <c r="C65" s="4">
        <v>0.2</v>
      </c>
    </row>
    <row r="66" spans="1:3" x14ac:dyDescent="0.25">
      <c r="A66" t="s">
        <v>192</v>
      </c>
      <c r="B66" t="s">
        <v>10</v>
      </c>
      <c r="C66" s="4">
        <v>0.2</v>
      </c>
    </row>
    <row r="67" spans="1:3" x14ac:dyDescent="0.25">
      <c r="A67" t="s">
        <v>192</v>
      </c>
      <c r="B67" t="s">
        <v>12</v>
      </c>
      <c r="C67" s="4">
        <v>0.2</v>
      </c>
    </row>
    <row r="68" spans="1:3" x14ac:dyDescent="0.25">
      <c r="A68" t="s">
        <v>192</v>
      </c>
      <c r="B68" t="s">
        <v>14</v>
      </c>
      <c r="C68" s="4">
        <v>0.2</v>
      </c>
    </row>
    <row r="69" spans="1:3" x14ac:dyDescent="0.25">
      <c r="A69" t="s">
        <v>192</v>
      </c>
      <c r="B69" t="s">
        <v>16</v>
      </c>
      <c r="C69" s="4">
        <v>0.2</v>
      </c>
    </row>
    <row r="70" spans="1:3" x14ac:dyDescent="0.25">
      <c r="A70" t="s">
        <v>192</v>
      </c>
      <c r="B70" t="s">
        <v>18</v>
      </c>
      <c r="C70" s="4">
        <v>0.2</v>
      </c>
    </row>
    <row r="71" spans="1:3" x14ac:dyDescent="0.25">
      <c r="A71" t="s">
        <v>192</v>
      </c>
      <c r="B71" t="s">
        <v>20</v>
      </c>
      <c r="C71" s="4">
        <v>0.2</v>
      </c>
    </row>
    <row r="72" spans="1:3" x14ac:dyDescent="0.25">
      <c r="A72" t="s">
        <v>192</v>
      </c>
      <c r="B72" t="s">
        <v>22</v>
      </c>
      <c r="C72" s="4">
        <v>0.2</v>
      </c>
    </row>
    <row r="73" spans="1:3" x14ac:dyDescent="0.25">
      <c r="A73" t="s">
        <v>192</v>
      </c>
      <c r="B73" t="s">
        <v>24</v>
      </c>
      <c r="C73" s="4">
        <v>0.2</v>
      </c>
    </row>
    <row r="74" spans="1:3" x14ac:dyDescent="0.25">
      <c r="A74" t="s">
        <v>192</v>
      </c>
      <c r="B74" t="s">
        <v>26</v>
      </c>
      <c r="C74" s="4">
        <v>0.2</v>
      </c>
    </row>
    <row r="75" spans="1:3" x14ac:dyDescent="0.25">
      <c r="A75" t="s">
        <v>192</v>
      </c>
      <c r="B75" t="s">
        <v>28</v>
      </c>
      <c r="C75" s="4">
        <v>0.2</v>
      </c>
    </row>
    <row r="76" spans="1:3" x14ac:dyDescent="0.25">
      <c r="A76" t="s">
        <v>192</v>
      </c>
      <c r="B76" t="s">
        <v>30</v>
      </c>
      <c r="C76" s="4">
        <v>0.2</v>
      </c>
    </row>
    <row r="77" spans="1:3" x14ac:dyDescent="0.25">
      <c r="A77" t="s">
        <v>192</v>
      </c>
      <c r="B77" t="s">
        <v>32</v>
      </c>
      <c r="C77" s="4">
        <v>0.2</v>
      </c>
    </row>
    <row r="78" spans="1:3" x14ac:dyDescent="0.25">
      <c r="A78" t="s">
        <v>192</v>
      </c>
      <c r="B78" t="s">
        <v>34</v>
      </c>
      <c r="C78" s="4">
        <v>0.2</v>
      </c>
    </row>
    <row r="79" spans="1:3" x14ac:dyDescent="0.25">
      <c r="A79" t="s">
        <v>192</v>
      </c>
      <c r="B79" t="s">
        <v>36</v>
      </c>
      <c r="C79" s="4">
        <v>0.2</v>
      </c>
    </row>
    <row r="80" spans="1:3" x14ac:dyDescent="0.25">
      <c r="A80" t="s">
        <v>192</v>
      </c>
      <c r="B80" t="s">
        <v>38</v>
      </c>
      <c r="C80" s="4">
        <v>0.2</v>
      </c>
    </row>
    <row r="81" spans="1:3" x14ac:dyDescent="0.25">
      <c r="A81" t="s">
        <v>192</v>
      </c>
      <c r="B81" t="s">
        <v>40</v>
      </c>
      <c r="C81" s="4">
        <v>0.2</v>
      </c>
    </row>
    <row r="82" spans="1:3" x14ac:dyDescent="0.25">
      <c r="A82" t="s">
        <v>192</v>
      </c>
      <c r="B82" t="s">
        <v>42</v>
      </c>
      <c r="C82" s="4">
        <v>0.2</v>
      </c>
    </row>
    <row r="83" spans="1:3" x14ac:dyDescent="0.25">
      <c r="A83" t="s">
        <v>192</v>
      </c>
      <c r="B83" t="s">
        <v>44</v>
      </c>
      <c r="C83" s="4">
        <v>0.2</v>
      </c>
    </row>
    <row r="84" spans="1:3" x14ac:dyDescent="0.25">
      <c r="A84" t="s">
        <v>192</v>
      </c>
      <c r="B84" t="s">
        <v>46</v>
      </c>
      <c r="C84" s="4">
        <v>0.2</v>
      </c>
    </row>
    <row r="85" spans="1:3" x14ac:dyDescent="0.25">
      <c r="A85" t="s">
        <v>192</v>
      </c>
      <c r="B85" t="s">
        <v>48</v>
      </c>
      <c r="C85" s="4">
        <v>0.2</v>
      </c>
    </row>
    <row r="86" spans="1:3" x14ac:dyDescent="0.25">
      <c r="A86" t="s">
        <v>192</v>
      </c>
      <c r="B86" t="s">
        <v>50</v>
      </c>
      <c r="C86" s="4">
        <v>0.2</v>
      </c>
    </row>
    <row r="87" spans="1:3" x14ac:dyDescent="0.25">
      <c r="A87" t="s">
        <v>192</v>
      </c>
      <c r="B87" t="s">
        <v>52</v>
      </c>
      <c r="C87" s="4">
        <v>0.2</v>
      </c>
    </row>
    <row r="88" spans="1:3" x14ac:dyDescent="0.25">
      <c r="A88" t="s">
        <v>192</v>
      </c>
      <c r="B88" t="s">
        <v>54</v>
      </c>
      <c r="C88" s="4">
        <v>0.2</v>
      </c>
    </row>
    <row r="89" spans="1:3" x14ac:dyDescent="0.25">
      <c r="A89" t="s">
        <v>192</v>
      </c>
      <c r="B89" t="s">
        <v>56</v>
      </c>
      <c r="C89" s="4">
        <v>0.2</v>
      </c>
    </row>
    <row r="90" spans="1:3" x14ac:dyDescent="0.25">
      <c r="A90" t="s">
        <v>192</v>
      </c>
      <c r="B90" t="s">
        <v>58</v>
      </c>
      <c r="C90" s="4">
        <v>0.2</v>
      </c>
    </row>
    <row r="91" spans="1:3" x14ac:dyDescent="0.25">
      <c r="A91" t="s">
        <v>192</v>
      </c>
      <c r="B91" t="s">
        <v>60</v>
      </c>
      <c r="C91" s="4">
        <v>0.2</v>
      </c>
    </row>
    <row r="92" spans="1:3" x14ac:dyDescent="0.25">
      <c r="A92" t="s">
        <v>192</v>
      </c>
      <c r="B92" t="s">
        <v>62</v>
      </c>
      <c r="C92" s="4">
        <v>0.2</v>
      </c>
    </row>
    <row r="93" spans="1:3" x14ac:dyDescent="0.25">
      <c r="A93" t="s">
        <v>192</v>
      </c>
      <c r="B93" t="s">
        <v>64</v>
      </c>
      <c r="C93" s="4">
        <v>0.2</v>
      </c>
    </row>
    <row r="94" spans="1:3" x14ac:dyDescent="0.25">
      <c r="A94" t="s">
        <v>192</v>
      </c>
      <c r="B94" t="s">
        <v>66</v>
      </c>
      <c r="C94" s="4">
        <v>0.2</v>
      </c>
    </row>
    <row r="95" spans="1:3" x14ac:dyDescent="0.25">
      <c r="A95" t="s">
        <v>192</v>
      </c>
      <c r="B95" t="s">
        <v>68</v>
      </c>
      <c r="C95" s="4">
        <v>0.2</v>
      </c>
    </row>
    <row r="96" spans="1:3" x14ac:dyDescent="0.25">
      <c r="A96" t="s">
        <v>192</v>
      </c>
      <c r="B96" t="s">
        <v>70</v>
      </c>
      <c r="C96" s="4">
        <v>0.2</v>
      </c>
    </row>
    <row r="97" spans="1:3" x14ac:dyDescent="0.25">
      <c r="A97" t="s">
        <v>192</v>
      </c>
      <c r="B97" t="s">
        <v>72</v>
      </c>
      <c r="C97" s="4">
        <v>0.2</v>
      </c>
    </row>
    <row r="98" spans="1:3" x14ac:dyDescent="0.25">
      <c r="A98" t="s">
        <v>192</v>
      </c>
      <c r="B98" t="s">
        <v>74</v>
      </c>
      <c r="C98" s="4">
        <v>0.2</v>
      </c>
    </row>
    <row r="99" spans="1:3" x14ac:dyDescent="0.25">
      <c r="A99" t="s">
        <v>192</v>
      </c>
      <c r="B99" t="s">
        <v>76</v>
      </c>
      <c r="C99" s="4">
        <v>0.2</v>
      </c>
    </row>
    <row r="100" spans="1:3" x14ac:dyDescent="0.25">
      <c r="A100" t="s">
        <v>192</v>
      </c>
      <c r="B100" t="s">
        <v>78</v>
      </c>
      <c r="C100" s="4">
        <v>0.2</v>
      </c>
    </row>
    <row r="101" spans="1:3" x14ac:dyDescent="0.25">
      <c r="A101" t="s">
        <v>192</v>
      </c>
      <c r="B101" t="s">
        <v>80</v>
      </c>
      <c r="C101" s="4">
        <v>0.2</v>
      </c>
    </row>
    <row r="102" spans="1:3" x14ac:dyDescent="0.25">
      <c r="A102" t="s">
        <v>192</v>
      </c>
      <c r="B102" t="s">
        <v>82</v>
      </c>
      <c r="C102" s="4">
        <v>0.2</v>
      </c>
    </row>
    <row r="103" spans="1:3" x14ac:dyDescent="0.25">
      <c r="A103" t="s">
        <v>192</v>
      </c>
      <c r="B103" t="s">
        <v>84</v>
      </c>
      <c r="C103" s="4">
        <v>0.2</v>
      </c>
    </row>
    <row r="104" spans="1:3" x14ac:dyDescent="0.25">
      <c r="A104" t="s">
        <v>192</v>
      </c>
      <c r="B104" t="s">
        <v>86</v>
      </c>
      <c r="C104" s="4">
        <v>0.2</v>
      </c>
    </row>
    <row r="105" spans="1:3" x14ac:dyDescent="0.25">
      <c r="A105" t="s">
        <v>192</v>
      </c>
      <c r="B105" t="s">
        <v>88</v>
      </c>
      <c r="C105" s="4">
        <v>0.2</v>
      </c>
    </row>
    <row r="106" spans="1:3" x14ac:dyDescent="0.25">
      <c r="A106" t="s">
        <v>192</v>
      </c>
      <c r="B106" t="s">
        <v>90</v>
      </c>
      <c r="C106" s="4">
        <v>0.2</v>
      </c>
    </row>
    <row r="107" spans="1:3" x14ac:dyDescent="0.25">
      <c r="A107" t="s">
        <v>192</v>
      </c>
      <c r="B107" t="s">
        <v>92</v>
      </c>
      <c r="C107" s="4">
        <v>0.2</v>
      </c>
    </row>
    <row r="108" spans="1:3" x14ac:dyDescent="0.25">
      <c r="A108" t="s">
        <v>192</v>
      </c>
      <c r="B108" t="s">
        <v>94</v>
      </c>
      <c r="C108" s="4">
        <v>0.2</v>
      </c>
    </row>
    <row r="109" spans="1:3" x14ac:dyDescent="0.25">
      <c r="A109" t="s">
        <v>192</v>
      </c>
      <c r="B109" t="s">
        <v>96</v>
      </c>
      <c r="C109" s="4">
        <v>0.2</v>
      </c>
    </row>
    <row r="110" spans="1:3" x14ac:dyDescent="0.25">
      <c r="A110" t="s">
        <v>192</v>
      </c>
      <c r="B110" t="s">
        <v>98</v>
      </c>
      <c r="C110" s="4">
        <v>0.2</v>
      </c>
    </row>
    <row r="111" spans="1:3" x14ac:dyDescent="0.25">
      <c r="A111" t="s">
        <v>192</v>
      </c>
      <c r="B111" t="s">
        <v>100</v>
      </c>
      <c r="C111" s="4">
        <v>0.2</v>
      </c>
    </row>
    <row r="112" spans="1:3" x14ac:dyDescent="0.25">
      <c r="A112" t="s">
        <v>192</v>
      </c>
      <c r="B112" t="s">
        <v>102</v>
      </c>
      <c r="C112" s="4">
        <v>0.2</v>
      </c>
    </row>
    <row r="113" spans="1:3" x14ac:dyDescent="0.25">
      <c r="A113" t="s">
        <v>192</v>
      </c>
      <c r="B113" t="s">
        <v>104</v>
      </c>
      <c r="C113" s="4">
        <v>0.2</v>
      </c>
    </row>
    <row r="114" spans="1:3" x14ac:dyDescent="0.25">
      <c r="A114" t="s">
        <v>192</v>
      </c>
      <c r="B114" t="s">
        <v>106</v>
      </c>
      <c r="C114" s="4">
        <v>0.2</v>
      </c>
    </row>
    <row r="115" spans="1:3" x14ac:dyDescent="0.25">
      <c r="A115" t="s">
        <v>192</v>
      </c>
      <c r="B115" t="s">
        <v>108</v>
      </c>
      <c r="C115" s="4">
        <v>0.2</v>
      </c>
    </row>
    <row r="116" spans="1:3" x14ac:dyDescent="0.25">
      <c r="A116" t="s">
        <v>192</v>
      </c>
      <c r="B116" t="s">
        <v>110</v>
      </c>
      <c r="C116" s="4">
        <v>0.2</v>
      </c>
    </row>
    <row r="117" spans="1:3" x14ac:dyDescent="0.25">
      <c r="A117" t="s">
        <v>192</v>
      </c>
      <c r="B117" t="s">
        <v>112</v>
      </c>
      <c r="C117" s="4">
        <v>0.2</v>
      </c>
    </row>
    <row r="118" spans="1:3" x14ac:dyDescent="0.25">
      <c r="A118" t="s">
        <v>192</v>
      </c>
      <c r="B118" t="s">
        <v>114</v>
      </c>
      <c r="C118" s="4">
        <v>0.2</v>
      </c>
    </row>
    <row r="119" spans="1:3" x14ac:dyDescent="0.25">
      <c r="A119" t="s">
        <v>192</v>
      </c>
      <c r="B119" t="s">
        <v>116</v>
      </c>
      <c r="C119" s="4">
        <v>0.2</v>
      </c>
    </row>
    <row r="120" spans="1:3" x14ac:dyDescent="0.25">
      <c r="A120" t="s">
        <v>190</v>
      </c>
      <c r="B120" t="s">
        <v>0</v>
      </c>
      <c r="C120" s="4">
        <v>0</v>
      </c>
    </row>
    <row r="121" spans="1:3" x14ac:dyDescent="0.25">
      <c r="A121" t="s">
        <v>190</v>
      </c>
      <c r="B121" t="s">
        <v>2</v>
      </c>
      <c r="C121" s="4">
        <v>0</v>
      </c>
    </row>
    <row r="122" spans="1:3" x14ac:dyDescent="0.25">
      <c r="A122" t="s">
        <v>190</v>
      </c>
      <c r="B122" t="s">
        <v>4</v>
      </c>
      <c r="C122" s="4">
        <v>0</v>
      </c>
    </row>
    <row r="123" spans="1:3" x14ac:dyDescent="0.25">
      <c r="A123" t="s">
        <v>190</v>
      </c>
      <c r="B123" t="s">
        <v>6</v>
      </c>
      <c r="C123" s="4">
        <v>0</v>
      </c>
    </row>
    <row r="124" spans="1:3" x14ac:dyDescent="0.25">
      <c r="A124" t="s">
        <v>190</v>
      </c>
      <c r="B124" t="s">
        <v>8</v>
      </c>
      <c r="C124" s="4">
        <v>0.13</v>
      </c>
    </row>
    <row r="125" spans="1:3" x14ac:dyDescent="0.25">
      <c r="A125" t="s">
        <v>190</v>
      </c>
      <c r="B125" t="s">
        <v>10</v>
      </c>
      <c r="C125" s="4">
        <v>0.13</v>
      </c>
    </row>
    <row r="126" spans="1:3" x14ac:dyDescent="0.25">
      <c r="A126" t="s">
        <v>190</v>
      </c>
      <c r="B126" t="s">
        <v>12</v>
      </c>
      <c r="C126" s="4">
        <v>0.13</v>
      </c>
    </row>
    <row r="127" spans="1:3" x14ac:dyDescent="0.25">
      <c r="A127" t="s">
        <v>190</v>
      </c>
      <c r="B127" t="s">
        <v>14</v>
      </c>
      <c r="C127" s="4">
        <v>0.13</v>
      </c>
    </row>
    <row r="128" spans="1:3" x14ac:dyDescent="0.25">
      <c r="A128" t="s">
        <v>190</v>
      </c>
      <c r="B128" t="s">
        <v>16</v>
      </c>
      <c r="C128" s="4">
        <v>0.13</v>
      </c>
    </row>
    <row r="129" spans="1:3" x14ac:dyDescent="0.25">
      <c r="A129" t="s">
        <v>190</v>
      </c>
      <c r="B129" t="s">
        <v>18</v>
      </c>
      <c r="C129" s="4">
        <v>0.13</v>
      </c>
    </row>
    <row r="130" spans="1:3" x14ac:dyDescent="0.25">
      <c r="A130" t="s">
        <v>190</v>
      </c>
      <c r="B130" t="s">
        <v>20</v>
      </c>
      <c r="C130" s="4">
        <v>0.13</v>
      </c>
    </row>
    <row r="131" spans="1:3" x14ac:dyDescent="0.25">
      <c r="A131" t="s">
        <v>190</v>
      </c>
      <c r="B131" t="s">
        <v>22</v>
      </c>
      <c r="C131" s="4">
        <v>0.13</v>
      </c>
    </row>
    <row r="132" spans="1:3" x14ac:dyDescent="0.25">
      <c r="A132" t="s">
        <v>190</v>
      </c>
      <c r="B132" t="s">
        <v>24</v>
      </c>
      <c r="C132" s="4">
        <v>0.13</v>
      </c>
    </row>
    <row r="133" spans="1:3" x14ac:dyDescent="0.25">
      <c r="A133" t="s">
        <v>190</v>
      </c>
      <c r="B133" t="s">
        <v>26</v>
      </c>
      <c r="C133" s="4">
        <v>0.13</v>
      </c>
    </row>
    <row r="134" spans="1:3" x14ac:dyDescent="0.25">
      <c r="A134" t="s">
        <v>190</v>
      </c>
      <c r="B134" t="s">
        <v>28</v>
      </c>
      <c r="C134" s="4">
        <v>0.13</v>
      </c>
    </row>
    <row r="135" spans="1:3" x14ac:dyDescent="0.25">
      <c r="A135" t="s">
        <v>190</v>
      </c>
      <c r="B135" t="s">
        <v>30</v>
      </c>
      <c r="C135" s="4">
        <v>0.13</v>
      </c>
    </row>
    <row r="136" spans="1:3" x14ac:dyDescent="0.25">
      <c r="A136" t="s">
        <v>190</v>
      </c>
      <c r="B136" t="s">
        <v>32</v>
      </c>
      <c r="C136" s="4">
        <v>0.13</v>
      </c>
    </row>
    <row r="137" spans="1:3" x14ac:dyDescent="0.25">
      <c r="A137" t="s">
        <v>190</v>
      </c>
      <c r="B137" t="s">
        <v>34</v>
      </c>
      <c r="C137" s="4">
        <v>0.13</v>
      </c>
    </row>
    <row r="138" spans="1:3" x14ac:dyDescent="0.25">
      <c r="A138" t="s">
        <v>190</v>
      </c>
      <c r="B138" t="s">
        <v>36</v>
      </c>
      <c r="C138" s="4">
        <v>0.13</v>
      </c>
    </row>
    <row r="139" spans="1:3" x14ac:dyDescent="0.25">
      <c r="A139" t="s">
        <v>190</v>
      </c>
      <c r="B139" t="s">
        <v>38</v>
      </c>
      <c r="C139" s="4">
        <v>0.13</v>
      </c>
    </row>
    <row r="140" spans="1:3" x14ac:dyDescent="0.25">
      <c r="A140" t="s">
        <v>190</v>
      </c>
      <c r="B140" t="s">
        <v>40</v>
      </c>
      <c r="C140" s="4">
        <v>0.13</v>
      </c>
    </row>
    <row r="141" spans="1:3" x14ac:dyDescent="0.25">
      <c r="A141" t="s">
        <v>190</v>
      </c>
      <c r="B141" t="s">
        <v>42</v>
      </c>
      <c r="C141" s="4">
        <v>0.13</v>
      </c>
    </row>
    <row r="142" spans="1:3" x14ac:dyDescent="0.25">
      <c r="A142" t="s">
        <v>190</v>
      </c>
      <c r="B142" t="s">
        <v>44</v>
      </c>
      <c r="C142" s="4">
        <v>0.13</v>
      </c>
    </row>
    <row r="143" spans="1:3" x14ac:dyDescent="0.25">
      <c r="A143" t="s">
        <v>190</v>
      </c>
      <c r="B143" t="s">
        <v>46</v>
      </c>
      <c r="C143" s="4">
        <v>0.13</v>
      </c>
    </row>
    <row r="144" spans="1:3" x14ac:dyDescent="0.25">
      <c r="A144" t="s">
        <v>190</v>
      </c>
      <c r="B144" t="s">
        <v>48</v>
      </c>
      <c r="C144" s="4">
        <v>0.13</v>
      </c>
    </row>
    <row r="145" spans="1:3" x14ac:dyDescent="0.25">
      <c r="A145" t="s">
        <v>190</v>
      </c>
      <c r="B145" t="s">
        <v>50</v>
      </c>
      <c r="C145" s="4">
        <v>0.13</v>
      </c>
    </row>
    <row r="146" spans="1:3" x14ac:dyDescent="0.25">
      <c r="A146" t="s">
        <v>190</v>
      </c>
      <c r="B146" t="s">
        <v>52</v>
      </c>
      <c r="C146" s="4">
        <v>0.13</v>
      </c>
    </row>
    <row r="147" spans="1:3" x14ac:dyDescent="0.25">
      <c r="A147" t="s">
        <v>190</v>
      </c>
      <c r="B147" t="s">
        <v>54</v>
      </c>
      <c r="C147" s="4">
        <v>0.13</v>
      </c>
    </row>
    <row r="148" spans="1:3" x14ac:dyDescent="0.25">
      <c r="A148" t="s">
        <v>190</v>
      </c>
      <c r="B148" t="s">
        <v>56</v>
      </c>
      <c r="C148" s="4">
        <v>0.13</v>
      </c>
    </row>
    <row r="149" spans="1:3" x14ac:dyDescent="0.25">
      <c r="A149" t="s">
        <v>190</v>
      </c>
      <c r="B149" t="s">
        <v>58</v>
      </c>
      <c r="C149" s="4">
        <v>0.13</v>
      </c>
    </row>
    <row r="150" spans="1:3" x14ac:dyDescent="0.25">
      <c r="A150" t="s">
        <v>190</v>
      </c>
      <c r="B150" t="s">
        <v>60</v>
      </c>
      <c r="C150" s="4">
        <v>0.13</v>
      </c>
    </row>
    <row r="151" spans="1:3" x14ac:dyDescent="0.25">
      <c r="A151" t="s">
        <v>190</v>
      </c>
      <c r="B151" t="s">
        <v>62</v>
      </c>
      <c r="C151" s="4">
        <v>0.13</v>
      </c>
    </row>
    <row r="152" spans="1:3" x14ac:dyDescent="0.25">
      <c r="A152" t="s">
        <v>190</v>
      </c>
      <c r="B152" t="s">
        <v>64</v>
      </c>
      <c r="C152" s="4">
        <v>0.13</v>
      </c>
    </row>
    <row r="153" spans="1:3" x14ac:dyDescent="0.25">
      <c r="A153" t="s">
        <v>190</v>
      </c>
      <c r="B153" t="s">
        <v>66</v>
      </c>
      <c r="C153" s="4">
        <v>0.13</v>
      </c>
    </row>
    <row r="154" spans="1:3" x14ac:dyDescent="0.25">
      <c r="A154" t="s">
        <v>190</v>
      </c>
      <c r="B154" t="s">
        <v>68</v>
      </c>
      <c r="C154" s="4">
        <v>0.13</v>
      </c>
    </row>
    <row r="155" spans="1:3" x14ac:dyDescent="0.25">
      <c r="A155" t="s">
        <v>190</v>
      </c>
      <c r="B155" t="s">
        <v>70</v>
      </c>
      <c r="C155" s="4">
        <v>0.13</v>
      </c>
    </row>
    <row r="156" spans="1:3" x14ac:dyDescent="0.25">
      <c r="A156" t="s">
        <v>190</v>
      </c>
      <c r="B156" t="s">
        <v>72</v>
      </c>
      <c r="C156" s="4">
        <v>0.13</v>
      </c>
    </row>
    <row r="157" spans="1:3" x14ac:dyDescent="0.25">
      <c r="A157" t="s">
        <v>190</v>
      </c>
      <c r="B157" t="s">
        <v>74</v>
      </c>
      <c r="C157" s="4">
        <v>0.13</v>
      </c>
    </row>
    <row r="158" spans="1:3" x14ac:dyDescent="0.25">
      <c r="A158" t="s">
        <v>190</v>
      </c>
      <c r="B158" t="s">
        <v>76</v>
      </c>
      <c r="C158" s="4">
        <v>0.13</v>
      </c>
    </row>
    <row r="159" spans="1:3" x14ac:dyDescent="0.25">
      <c r="A159" t="s">
        <v>190</v>
      </c>
      <c r="B159" t="s">
        <v>78</v>
      </c>
      <c r="C159" s="4">
        <v>0.13</v>
      </c>
    </row>
    <row r="160" spans="1:3" x14ac:dyDescent="0.25">
      <c r="A160" t="s">
        <v>190</v>
      </c>
      <c r="B160" t="s">
        <v>80</v>
      </c>
      <c r="C160" s="4">
        <v>0.13</v>
      </c>
    </row>
    <row r="161" spans="1:3" x14ac:dyDescent="0.25">
      <c r="A161" t="s">
        <v>190</v>
      </c>
      <c r="B161" t="s">
        <v>82</v>
      </c>
      <c r="C161" s="4">
        <v>0.13</v>
      </c>
    </row>
    <row r="162" spans="1:3" x14ac:dyDescent="0.25">
      <c r="A162" t="s">
        <v>190</v>
      </c>
      <c r="B162" t="s">
        <v>84</v>
      </c>
      <c r="C162" s="4">
        <v>0.13</v>
      </c>
    </row>
    <row r="163" spans="1:3" x14ac:dyDescent="0.25">
      <c r="A163" t="s">
        <v>190</v>
      </c>
      <c r="B163" t="s">
        <v>86</v>
      </c>
      <c r="C163" s="4">
        <v>0.13</v>
      </c>
    </row>
    <row r="164" spans="1:3" x14ac:dyDescent="0.25">
      <c r="A164" t="s">
        <v>190</v>
      </c>
      <c r="B164" t="s">
        <v>88</v>
      </c>
      <c r="C164" s="4">
        <v>0.13</v>
      </c>
    </row>
    <row r="165" spans="1:3" x14ac:dyDescent="0.25">
      <c r="A165" t="s">
        <v>190</v>
      </c>
      <c r="B165" t="s">
        <v>90</v>
      </c>
      <c r="C165" s="4">
        <v>0.13</v>
      </c>
    </row>
    <row r="166" spans="1:3" x14ac:dyDescent="0.25">
      <c r="A166" t="s">
        <v>190</v>
      </c>
      <c r="B166" t="s">
        <v>92</v>
      </c>
      <c r="C166" s="4">
        <v>0.13</v>
      </c>
    </row>
    <row r="167" spans="1:3" x14ac:dyDescent="0.25">
      <c r="A167" t="s">
        <v>190</v>
      </c>
      <c r="B167" t="s">
        <v>94</v>
      </c>
      <c r="C167" s="4">
        <v>0.13</v>
      </c>
    </row>
    <row r="168" spans="1:3" x14ac:dyDescent="0.25">
      <c r="A168" t="s">
        <v>190</v>
      </c>
      <c r="B168" t="s">
        <v>96</v>
      </c>
      <c r="C168" s="4">
        <v>0.13</v>
      </c>
    </row>
    <row r="169" spans="1:3" x14ac:dyDescent="0.25">
      <c r="A169" t="s">
        <v>190</v>
      </c>
      <c r="B169" t="s">
        <v>98</v>
      </c>
      <c r="C169" s="4">
        <v>0.13</v>
      </c>
    </row>
    <row r="170" spans="1:3" x14ac:dyDescent="0.25">
      <c r="A170" t="s">
        <v>190</v>
      </c>
      <c r="B170" t="s">
        <v>100</v>
      </c>
      <c r="C170" s="4">
        <v>0.13</v>
      </c>
    </row>
    <row r="171" spans="1:3" x14ac:dyDescent="0.25">
      <c r="A171" t="s">
        <v>190</v>
      </c>
      <c r="B171" t="s">
        <v>102</v>
      </c>
      <c r="C171" s="4">
        <v>0.13</v>
      </c>
    </row>
    <row r="172" spans="1:3" x14ac:dyDescent="0.25">
      <c r="A172" t="s">
        <v>190</v>
      </c>
      <c r="B172" t="s">
        <v>104</v>
      </c>
      <c r="C172" s="4">
        <v>0.13</v>
      </c>
    </row>
    <row r="173" spans="1:3" x14ac:dyDescent="0.25">
      <c r="A173" t="s">
        <v>190</v>
      </c>
      <c r="B173" t="s">
        <v>106</v>
      </c>
      <c r="C173" s="4">
        <v>0.13</v>
      </c>
    </row>
    <row r="174" spans="1:3" x14ac:dyDescent="0.25">
      <c r="A174" t="s">
        <v>190</v>
      </c>
      <c r="B174" t="s">
        <v>108</v>
      </c>
      <c r="C174" s="4">
        <v>0.13</v>
      </c>
    </row>
    <row r="175" spans="1:3" x14ac:dyDescent="0.25">
      <c r="A175" t="s">
        <v>190</v>
      </c>
      <c r="B175" t="s">
        <v>110</v>
      </c>
      <c r="C175" s="4">
        <v>0.13</v>
      </c>
    </row>
    <row r="176" spans="1:3" x14ac:dyDescent="0.25">
      <c r="A176" t="s">
        <v>190</v>
      </c>
      <c r="B176" t="s">
        <v>112</v>
      </c>
      <c r="C176" s="4">
        <v>0</v>
      </c>
    </row>
    <row r="177" spans="1:3" x14ac:dyDescent="0.25">
      <c r="A177" t="s">
        <v>190</v>
      </c>
      <c r="B177" t="s">
        <v>114</v>
      </c>
      <c r="C177" s="4">
        <v>0</v>
      </c>
    </row>
    <row r="178" spans="1:3" x14ac:dyDescent="0.25">
      <c r="A178" t="s">
        <v>190</v>
      </c>
      <c r="B178" t="s">
        <v>116</v>
      </c>
      <c r="C178" s="4">
        <v>0.13</v>
      </c>
    </row>
    <row r="179" spans="1:3" x14ac:dyDescent="0.25">
      <c r="A179" t="s">
        <v>189</v>
      </c>
      <c r="B179" t="s">
        <v>0</v>
      </c>
      <c r="C179" s="4">
        <v>0.09</v>
      </c>
    </row>
    <row r="180" spans="1:3" x14ac:dyDescent="0.25">
      <c r="A180" t="s">
        <v>189</v>
      </c>
      <c r="B180" t="s">
        <v>2</v>
      </c>
      <c r="C180" s="4">
        <v>0.09</v>
      </c>
    </row>
    <row r="181" spans="1:3" x14ac:dyDescent="0.25">
      <c r="A181" t="s">
        <v>189</v>
      </c>
      <c r="B181" t="s">
        <v>4</v>
      </c>
      <c r="C181" s="4">
        <v>0.09</v>
      </c>
    </row>
    <row r="182" spans="1:3" x14ac:dyDescent="0.25">
      <c r="A182" t="s">
        <v>189</v>
      </c>
      <c r="B182" t="s">
        <v>6</v>
      </c>
      <c r="C182" s="4">
        <v>0.09</v>
      </c>
    </row>
    <row r="183" spans="1:3" x14ac:dyDescent="0.25">
      <c r="A183" t="s">
        <v>189</v>
      </c>
      <c r="B183" t="s">
        <v>8</v>
      </c>
      <c r="C183" s="4">
        <v>0.13</v>
      </c>
    </row>
    <row r="184" spans="1:3" x14ac:dyDescent="0.25">
      <c r="A184" t="s">
        <v>189</v>
      </c>
      <c r="B184" t="s">
        <v>10</v>
      </c>
      <c r="C184" s="4">
        <v>0.13</v>
      </c>
    </row>
    <row r="185" spans="1:3" x14ac:dyDescent="0.25">
      <c r="A185" t="s">
        <v>189</v>
      </c>
      <c r="B185" t="s">
        <v>12</v>
      </c>
      <c r="C185" s="4">
        <v>0.13</v>
      </c>
    </row>
    <row r="186" spans="1:3" x14ac:dyDescent="0.25">
      <c r="A186" t="s">
        <v>189</v>
      </c>
      <c r="B186" t="s">
        <v>14</v>
      </c>
      <c r="C186" s="4">
        <v>0.13</v>
      </c>
    </row>
    <row r="187" spans="1:3" x14ac:dyDescent="0.25">
      <c r="A187" t="s">
        <v>189</v>
      </c>
      <c r="B187" t="s">
        <v>16</v>
      </c>
      <c r="C187" s="4">
        <v>0.09</v>
      </c>
    </row>
    <row r="188" spans="1:3" x14ac:dyDescent="0.25">
      <c r="A188" t="s">
        <v>189</v>
      </c>
      <c r="B188" t="s">
        <v>18</v>
      </c>
      <c r="C188" s="4">
        <v>0.13</v>
      </c>
    </row>
    <row r="189" spans="1:3" x14ac:dyDescent="0.25">
      <c r="A189" t="s">
        <v>189</v>
      </c>
      <c r="B189" t="s">
        <v>20</v>
      </c>
      <c r="C189" s="4">
        <v>0.13</v>
      </c>
    </row>
    <row r="190" spans="1:3" x14ac:dyDescent="0.25">
      <c r="A190" t="s">
        <v>189</v>
      </c>
      <c r="B190" t="s">
        <v>22</v>
      </c>
      <c r="C190" s="4">
        <v>0.09</v>
      </c>
    </row>
    <row r="191" spans="1:3" x14ac:dyDescent="0.25">
      <c r="A191" t="s">
        <v>189</v>
      </c>
      <c r="B191" t="s">
        <v>24</v>
      </c>
      <c r="C191" s="4">
        <v>0.13</v>
      </c>
    </row>
    <row r="192" spans="1:3" x14ac:dyDescent="0.25">
      <c r="A192" t="s">
        <v>189</v>
      </c>
      <c r="B192" t="s">
        <v>26</v>
      </c>
      <c r="C192" s="4">
        <v>0.13</v>
      </c>
    </row>
    <row r="193" spans="1:3" x14ac:dyDescent="0.25">
      <c r="A193" t="s">
        <v>189</v>
      </c>
      <c r="B193" t="s">
        <v>28</v>
      </c>
      <c r="C193" s="4">
        <v>0.13</v>
      </c>
    </row>
    <row r="194" spans="1:3" x14ac:dyDescent="0.25">
      <c r="A194" t="s">
        <v>189</v>
      </c>
      <c r="B194" t="s">
        <v>30</v>
      </c>
      <c r="C194" s="4">
        <v>0.13</v>
      </c>
    </row>
    <row r="195" spans="1:3" x14ac:dyDescent="0.25">
      <c r="A195" t="s">
        <v>189</v>
      </c>
      <c r="B195" t="s">
        <v>32</v>
      </c>
      <c r="C195" s="4">
        <v>0.13</v>
      </c>
    </row>
    <row r="196" spans="1:3" x14ac:dyDescent="0.25">
      <c r="A196" t="s">
        <v>189</v>
      </c>
      <c r="B196" t="s">
        <v>34</v>
      </c>
      <c r="C196" s="4">
        <v>0.13</v>
      </c>
    </row>
    <row r="197" spans="1:3" x14ac:dyDescent="0.25">
      <c r="A197" t="s">
        <v>189</v>
      </c>
      <c r="B197" t="s">
        <v>36</v>
      </c>
      <c r="C197" s="4">
        <v>0.13</v>
      </c>
    </row>
    <row r="198" spans="1:3" x14ac:dyDescent="0.25">
      <c r="A198" t="s">
        <v>189</v>
      </c>
      <c r="B198" t="s">
        <v>38</v>
      </c>
      <c r="C198" s="4">
        <v>0.13</v>
      </c>
    </row>
    <row r="199" spans="1:3" x14ac:dyDescent="0.25">
      <c r="A199" t="s">
        <v>189</v>
      </c>
      <c r="B199" t="s">
        <v>40</v>
      </c>
      <c r="C199" s="4">
        <v>0.13</v>
      </c>
    </row>
    <row r="200" spans="1:3" x14ac:dyDescent="0.25">
      <c r="A200" t="s">
        <v>189</v>
      </c>
      <c r="B200" t="s">
        <v>42</v>
      </c>
      <c r="C200" s="4">
        <v>0.13</v>
      </c>
    </row>
    <row r="201" spans="1:3" x14ac:dyDescent="0.25">
      <c r="A201" t="s">
        <v>189</v>
      </c>
      <c r="B201" t="s">
        <v>44</v>
      </c>
      <c r="C201" s="4">
        <v>0.13</v>
      </c>
    </row>
    <row r="202" spans="1:3" x14ac:dyDescent="0.25">
      <c r="A202" t="s">
        <v>189</v>
      </c>
      <c r="B202" t="s">
        <v>46</v>
      </c>
      <c r="C202" s="4">
        <v>0.13</v>
      </c>
    </row>
    <row r="203" spans="1:3" x14ac:dyDescent="0.25">
      <c r="A203" t="s">
        <v>189</v>
      </c>
      <c r="B203" t="s">
        <v>48</v>
      </c>
      <c r="C203" s="4">
        <v>0.13</v>
      </c>
    </row>
    <row r="204" spans="1:3" x14ac:dyDescent="0.25">
      <c r="A204" t="s">
        <v>189</v>
      </c>
      <c r="B204" t="s">
        <v>50</v>
      </c>
      <c r="C204" s="4">
        <v>0.13</v>
      </c>
    </row>
    <row r="205" spans="1:3" x14ac:dyDescent="0.25">
      <c r="A205" t="s">
        <v>189</v>
      </c>
      <c r="B205" t="s">
        <v>52</v>
      </c>
      <c r="C205" s="4">
        <v>0.13</v>
      </c>
    </row>
    <row r="206" spans="1:3" x14ac:dyDescent="0.25">
      <c r="A206" t="s">
        <v>189</v>
      </c>
      <c r="B206" t="s">
        <v>54</v>
      </c>
      <c r="C206" s="4">
        <v>0.13</v>
      </c>
    </row>
    <row r="207" spans="1:3" x14ac:dyDescent="0.25">
      <c r="A207" t="s">
        <v>189</v>
      </c>
      <c r="B207" t="s">
        <v>56</v>
      </c>
      <c r="C207" s="4">
        <v>0.13</v>
      </c>
    </row>
    <row r="208" spans="1:3" x14ac:dyDescent="0.25">
      <c r="A208" t="s">
        <v>189</v>
      </c>
      <c r="B208" t="s">
        <v>58</v>
      </c>
      <c r="C208" s="4">
        <v>0.13</v>
      </c>
    </row>
    <row r="209" spans="1:3" x14ac:dyDescent="0.25">
      <c r="A209" t="s">
        <v>189</v>
      </c>
      <c r="B209" t="s">
        <v>60</v>
      </c>
      <c r="C209" s="4">
        <v>0.13</v>
      </c>
    </row>
    <row r="210" spans="1:3" x14ac:dyDescent="0.25">
      <c r="A210" t="s">
        <v>189</v>
      </c>
      <c r="B210" t="s">
        <v>62</v>
      </c>
      <c r="C210" s="4">
        <v>0.13</v>
      </c>
    </row>
    <row r="211" spans="1:3" x14ac:dyDescent="0.25">
      <c r="A211" t="s">
        <v>189</v>
      </c>
      <c r="B211" t="s">
        <v>64</v>
      </c>
      <c r="C211" s="4">
        <v>0.13</v>
      </c>
    </row>
    <row r="212" spans="1:3" x14ac:dyDescent="0.25">
      <c r="A212" t="s">
        <v>189</v>
      </c>
      <c r="B212" t="s">
        <v>66</v>
      </c>
      <c r="C212" s="4">
        <v>0.13</v>
      </c>
    </row>
    <row r="213" spans="1:3" x14ac:dyDescent="0.25">
      <c r="A213" t="s">
        <v>189</v>
      </c>
      <c r="B213" t="s">
        <v>68</v>
      </c>
      <c r="C213" s="4">
        <v>0.13</v>
      </c>
    </row>
    <row r="214" spans="1:3" x14ac:dyDescent="0.25">
      <c r="A214" t="s">
        <v>189</v>
      </c>
      <c r="B214" t="s">
        <v>70</v>
      </c>
      <c r="C214" s="4">
        <v>0.13</v>
      </c>
    </row>
    <row r="215" spans="1:3" x14ac:dyDescent="0.25">
      <c r="A215" t="s">
        <v>189</v>
      </c>
      <c r="B215" t="s">
        <v>72</v>
      </c>
      <c r="C215" s="4">
        <v>0.13</v>
      </c>
    </row>
    <row r="216" spans="1:3" x14ac:dyDescent="0.25">
      <c r="A216" t="s">
        <v>189</v>
      </c>
      <c r="B216" t="s">
        <v>74</v>
      </c>
      <c r="C216" s="4">
        <v>0.13</v>
      </c>
    </row>
    <row r="217" spans="1:3" x14ac:dyDescent="0.25">
      <c r="A217" t="s">
        <v>189</v>
      </c>
      <c r="B217" t="s">
        <v>76</v>
      </c>
      <c r="C217" s="4">
        <v>0.13</v>
      </c>
    </row>
    <row r="218" spans="1:3" x14ac:dyDescent="0.25">
      <c r="A218" t="s">
        <v>189</v>
      </c>
      <c r="B218" t="s">
        <v>78</v>
      </c>
      <c r="C218" s="4">
        <v>0.13</v>
      </c>
    </row>
    <row r="219" spans="1:3" x14ac:dyDescent="0.25">
      <c r="A219" t="s">
        <v>189</v>
      </c>
      <c r="B219" t="s">
        <v>80</v>
      </c>
      <c r="C219" s="4">
        <v>0.09</v>
      </c>
    </row>
    <row r="220" spans="1:3" x14ac:dyDescent="0.25">
      <c r="A220" t="s">
        <v>189</v>
      </c>
      <c r="B220" t="s">
        <v>82</v>
      </c>
      <c r="C220" s="4">
        <v>0.13</v>
      </c>
    </row>
    <row r="221" spans="1:3" x14ac:dyDescent="0.25">
      <c r="A221" t="s">
        <v>189</v>
      </c>
      <c r="B221" t="s">
        <v>84</v>
      </c>
      <c r="C221" s="4">
        <v>0.13</v>
      </c>
    </row>
    <row r="222" spans="1:3" x14ac:dyDescent="0.25">
      <c r="A222" t="s">
        <v>189</v>
      </c>
      <c r="B222" t="s">
        <v>86</v>
      </c>
      <c r="C222" s="4">
        <v>0.13</v>
      </c>
    </row>
    <row r="223" spans="1:3" x14ac:dyDescent="0.25">
      <c r="A223" t="s">
        <v>189</v>
      </c>
      <c r="B223" t="s">
        <v>88</v>
      </c>
      <c r="C223" s="4">
        <v>0.13</v>
      </c>
    </row>
    <row r="224" spans="1:3" x14ac:dyDescent="0.25">
      <c r="A224" t="s">
        <v>189</v>
      </c>
      <c r="B224" t="s">
        <v>90</v>
      </c>
      <c r="C224" s="4">
        <v>0.13</v>
      </c>
    </row>
    <row r="225" spans="1:3" x14ac:dyDescent="0.25">
      <c r="A225" t="s">
        <v>189</v>
      </c>
      <c r="B225" t="s">
        <v>92</v>
      </c>
      <c r="C225" s="4">
        <v>0.13</v>
      </c>
    </row>
    <row r="226" spans="1:3" x14ac:dyDescent="0.25">
      <c r="A226" t="s">
        <v>189</v>
      </c>
      <c r="B226" t="s">
        <v>94</v>
      </c>
      <c r="C226" s="4">
        <v>0.13</v>
      </c>
    </row>
    <row r="227" spans="1:3" x14ac:dyDescent="0.25">
      <c r="A227" t="s">
        <v>189</v>
      </c>
      <c r="B227" t="s">
        <v>96</v>
      </c>
      <c r="C227" s="4">
        <v>0.13</v>
      </c>
    </row>
    <row r="228" spans="1:3" x14ac:dyDescent="0.25">
      <c r="A228" t="s">
        <v>189</v>
      </c>
      <c r="B228" t="s">
        <v>98</v>
      </c>
      <c r="C228" s="4">
        <v>0.06</v>
      </c>
    </row>
    <row r="229" spans="1:3" x14ac:dyDescent="0.25">
      <c r="A229" t="s">
        <v>189</v>
      </c>
      <c r="B229" t="s">
        <v>100</v>
      </c>
      <c r="C229" s="4">
        <v>0.13</v>
      </c>
    </row>
    <row r="230" spans="1:3" x14ac:dyDescent="0.25">
      <c r="A230" t="s">
        <v>189</v>
      </c>
      <c r="B230" t="s">
        <v>102</v>
      </c>
      <c r="C230" s="4">
        <v>0.09</v>
      </c>
    </row>
    <row r="231" spans="1:3" x14ac:dyDescent="0.25">
      <c r="A231" t="s">
        <v>189</v>
      </c>
      <c r="B231" t="s">
        <v>104</v>
      </c>
      <c r="C231" s="4">
        <v>0.06</v>
      </c>
    </row>
    <row r="232" spans="1:3" x14ac:dyDescent="0.25">
      <c r="A232" t="s">
        <v>189</v>
      </c>
      <c r="B232" t="s">
        <v>106</v>
      </c>
      <c r="C232" s="4">
        <v>0.06</v>
      </c>
    </row>
    <row r="233" spans="1:3" x14ac:dyDescent="0.25">
      <c r="A233" t="s">
        <v>189</v>
      </c>
      <c r="B233" t="s">
        <v>108</v>
      </c>
      <c r="C233" s="4">
        <v>0.13</v>
      </c>
    </row>
    <row r="234" spans="1:3" x14ac:dyDescent="0.25">
      <c r="A234" t="s">
        <v>189</v>
      </c>
      <c r="B234" t="s">
        <v>110</v>
      </c>
      <c r="C234" s="4">
        <v>0.13</v>
      </c>
    </row>
    <row r="235" spans="1:3" x14ac:dyDescent="0.25">
      <c r="A235" t="s">
        <v>189</v>
      </c>
      <c r="B235" t="s">
        <v>112</v>
      </c>
      <c r="C235" s="4">
        <v>0.13</v>
      </c>
    </row>
    <row r="236" spans="1:3" x14ac:dyDescent="0.25">
      <c r="A236" t="s">
        <v>189</v>
      </c>
      <c r="B236" t="s">
        <v>114</v>
      </c>
      <c r="C236" s="4">
        <v>0.13</v>
      </c>
    </row>
    <row r="237" spans="1:3" x14ac:dyDescent="0.25">
      <c r="A237" t="s">
        <v>189</v>
      </c>
      <c r="B237" t="s">
        <v>116</v>
      </c>
      <c r="C237" s="4">
        <v>0.13</v>
      </c>
    </row>
    <row r="238" spans="1:3" x14ac:dyDescent="0.25">
      <c r="A238" t="s">
        <v>156</v>
      </c>
      <c r="B238" t="s">
        <v>0</v>
      </c>
      <c r="C238" s="4">
        <v>7.0000000000000007E-2</v>
      </c>
    </row>
    <row r="239" spans="1:3" x14ac:dyDescent="0.25">
      <c r="A239" t="s">
        <v>156</v>
      </c>
      <c r="B239" t="s">
        <v>2</v>
      </c>
      <c r="C239" s="4">
        <v>7.0000000000000007E-2</v>
      </c>
    </row>
    <row r="240" spans="1:3" x14ac:dyDescent="0.25">
      <c r="A240" t="s">
        <v>156</v>
      </c>
      <c r="B240" t="s">
        <v>4</v>
      </c>
      <c r="C240" s="4">
        <v>7.0000000000000007E-2</v>
      </c>
    </row>
    <row r="241" spans="1:3" x14ac:dyDescent="0.25">
      <c r="A241" t="s">
        <v>156</v>
      </c>
      <c r="B241" t="s">
        <v>6</v>
      </c>
      <c r="C241" s="4">
        <v>7.0000000000000007E-2</v>
      </c>
    </row>
    <row r="242" spans="1:3" x14ac:dyDescent="0.25">
      <c r="A242" t="s">
        <v>156</v>
      </c>
      <c r="B242" t="s">
        <v>8</v>
      </c>
      <c r="C242" s="4">
        <v>0.19</v>
      </c>
    </row>
    <row r="243" spans="1:3" x14ac:dyDescent="0.25">
      <c r="A243" t="s">
        <v>156</v>
      </c>
      <c r="B243" t="s">
        <v>10</v>
      </c>
      <c r="C243" s="4">
        <v>0.19</v>
      </c>
    </row>
    <row r="244" spans="1:3" x14ac:dyDescent="0.25">
      <c r="A244" t="s">
        <v>156</v>
      </c>
      <c r="B244" t="s">
        <v>12</v>
      </c>
      <c r="C244" s="4">
        <v>0.19</v>
      </c>
    </row>
    <row r="245" spans="1:3" x14ac:dyDescent="0.25">
      <c r="A245" t="s">
        <v>156</v>
      </c>
      <c r="B245" t="s">
        <v>14</v>
      </c>
      <c r="C245" s="4">
        <v>0.19</v>
      </c>
    </row>
    <row r="246" spans="1:3" x14ac:dyDescent="0.25">
      <c r="A246" t="s">
        <v>156</v>
      </c>
      <c r="B246" t="s">
        <v>16</v>
      </c>
      <c r="C246" s="4">
        <v>7.0000000000000007E-2</v>
      </c>
    </row>
    <row r="247" spans="1:3" x14ac:dyDescent="0.25">
      <c r="A247" t="s">
        <v>156</v>
      </c>
      <c r="B247" t="s">
        <v>18</v>
      </c>
      <c r="C247" s="4">
        <v>0.19</v>
      </c>
    </row>
    <row r="248" spans="1:3" x14ac:dyDescent="0.25">
      <c r="A248" t="s">
        <v>156</v>
      </c>
      <c r="B248" t="s">
        <v>20</v>
      </c>
      <c r="C248" s="4">
        <v>0.19</v>
      </c>
    </row>
    <row r="249" spans="1:3" x14ac:dyDescent="0.25">
      <c r="A249" t="s">
        <v>156</v>
      </c>
      <c r="B249" t="s">
        <v>22</v>
      </c>
      <c r="C249" s="4">
        <v>7.0000000000000007E-2</v>
      </c>
    </row>
    <row r="250" spans="1:3" x14ac:dyDescent="0.25">
      <c r="A250" t="s">
        <v>156</v>
      </c>
      <c r="B250" t="s">
        <v>24</v>
      </c>
      <c r="C250" s="4">
        <v>0.19</v>
      </c>
    </row>
    <row r="251" spans="1:3" x14ac:dyDescent="0.25">
      <c r="A251" t="s">
        <v>156</v>
      </c>
      <c r="B251" t="s">
        <v>26</v>
      </c>
      <c r="C251" s="4">
        <v>0.19</v>
      </c>
    </row>
    <row r="252" spans="1:3" x14ac:dyDescent="0.25">
      <c r="A252" t="s">
        <v>156</v>
      </c>
      <c r="B252" t="s">
        <v>28</v>
      </c>
      <c r="C252" s="4">
        <v>0.19</v>
      </c>
    </row>
    <row r="253" spans="1:3" x14ac:dyDescent="0.25">
      <c r="A253" t="s">
        <v>156</v>
      </c>
      <c r="B253" t="s">
        <v>30</v>
      </c>
      <c r="C253" s="4">
        <v>0.19</v>
      </c>
    </row>
    <row r="254" spans="1:3" x14ac:dyDescent="0.25">
      <c r="A254" t="s">
        <v>156</v>
      </c>
      <c r="B254" t="s">
        <v>32</v>
      </c>
      <c r="C254" s="4">
        <v>0.19</v>
      </c>
    </row>
    <row r="255" spans="1:3" x14ac:dyDescent="0.25">
      <c r="A255" t="s">
        <v>156</v>
      </c>
      <c r="B255" t="s">
        <v>34</v>
      </c>
      <c r="C255" s="4">
        <v>0.19</v>
      </c>
    </row>
    <row r="256" spans="1:3" x14ac:dyDescent="0.25">
      <c r="A256" t="s">
        <v>156</v>
      </c>
      <c r="B256" t="s">
        <v>36</v>
      </c>
      <c r="C256" s="4">
        <v>0.19</v>
      </c>
    </row>
    <row r="257" spans="1:3" x14ac:dyDescent="0.25">
      <c r="A257" t="s">
        <v>156</v>
      </c>
      <c r="B257" t="s">
        <v>38</v>
      </c>
      <c r="C257" s="4">
        <v>0.19</v>
      </c>
    </row>
    <row r="258" spans="1:3" x14ac:dyDescent="0.25">
      <c r="A258" t="s">
        <v>156</v>
      </c>
      <c r="B258" t="s">
        <v>40</v>
      </c>
      <c r="C258" s="4">
        <v>0.19</v>
      </c>
    </row>
    <row r="259" spans="1:3" x14ac:dyDescent="0.25">
      <c r="A259" t="s">
        <v>156</v>
      </c>
      <c r="B259" t="s">
        <v>42</v>
      </c>
      <c r="C259" s="4">
        <v>0.19</v>
      </c>
    </row>
    <row r="260" spans="1:3" x14ac:dyDescent="0.25">
      <c r="A260" t="s">
        <v>156</v>
      </c>
      <c r="B260" t="s">
        <v>44</v>
      </c>
      <c r="C260" s="4">
        <v>0.19</v>
      </c>
    </row>
    <row r="261" spans="1:3" x14ac:dyDescent="0.25">
      <c r="A261" t="s">
        <v>156</v>
      </c>
      <c r="B261" t="s">
        <v>46</v>
      </c>
      <c r="C261" s="4">
        <v>0.19</v>
      </c>
    </row>
    <row r="262" spans="1:3" x14ac:dyDescent="0.25">
      <c r="A262" t="s">
        <v>156</v>
      </c>
      <c r="B262" t="s">
        <v>48</v>
      </c>
      <c r="C262" s="4">
        <v>0.19</v>
      </c>
    </row>
    <row r="263" spans="1:3" x14ac:dyDescent="0.25">
      <c r="A263" t="s">
        <v>156</v>
      </c>
      <c r="B263" t="s">
        <v>50</v>
      </c>
      <c r="C263" s="4">
        <v>0.19</v>
      </c>
    </row>
    <row r="264" spans="1:3" x14ac:dyDescent="0.25">
      <c r="A264" t="s">
        <v>156</v>
      </c>
      <c r="B264" t="s">
        <v>52</v>
      </c>
      <c r="C264" s="4">
        <v>0.19</v>
      </c>
    </row>
    <row r="265" spans="1:3" x14ac:dyDescent="0.25">
      <c r="A265" t="s">
        <v>156</v>
      </c>
      <c r="B265" t="s">
        <v>54</v>
      </c>
      <c r="C265" s="4">
        <v>0.19</v>
      </c>
    </row>
    <row r="266" spans="1:3" x14ac:dyDescent="0.25">
      <c r="A266" t="s">
        <v>156</v>
      </c>
      <c r="B266" t="s">
        <v>56</v>
      </c>
      <c r="C266" s="4">
        <v>0.19</v>
      </c>
    </row>
    <row r="267" spans="1:3" x14ac:dyDescent="0.25">
      <c r="A267" t="s">
        <v>156</v>
      </c>
      <c r="B267" t="s">
        <v>58</v>
      </c>
      <c r="C267" s="4">
        <v>0.19</v>
      </c>
    </row>
    <row r="268" spans="1:3" x14ac:dyDescent="0.25">
      <c r="A268" t="s">
        <v>156</v>
      </c>
      <c r="B268" t="s">
        <v>60</v>
      </c>
      <c r="C268" s="4">
        <v>0.19</v>
      </c>
    </row>
    <row r="269" spans="1:3" x14ac:dyDescent="0.25">
      <c r="A269" t="s">
        <v>156</v>
      </c>
      <c r="B269" t="s">
        <v>62</v>
      </c>
      <c r="C269" s="4">
        <v>0.19</v>
      </c>
    </row>
    <row r="270" spans="1:3" x14ac:dyDescent="0.25">
      <c r="A270" t="s">
        <v>156</v>
      </c>
      <c r="B270" t="s">
        <v>64</v>
      </c>
      <c r="C270" s="4">
        <v>0.19</v>
      </c>
    </row>
    <row r="271" spans="1:3" x14ac:dyDescent="0.25">
      <c r="A271" t="s">
        <v>156</v>
      </c>
      <c r="B271" t="s">
        <v>66</v>
      </c>
      <c r="C271" s="4">
        <v>0.19</v>
      </c>
    </row>
    <row r="272" spans="1:3" x14ac:dyDescent="0.25">
      <c r="A272" t="s">
        <v>156</v>
      </c>
      <c r="B272" t="s">
        <v>68</v>
      </c>
      <c r="C272" s="4">
        <v>0.19</v>
      </c>
    </row>
    <row r="273" spans="1:3" x14ac:dyDescent="0.25">
      <c r="A273" t="s">
        <v>156</v>
      </c>
      <c r="B273" t="s">
        <v>70</v>
      </c>
      <c r="C273" s="4">
        <v>0.19</v>
      </c>
    </row>
    <row r="274" spans="1:3" x14ac:dyDescent="0.25">
      <c r="A274" t="s">
        <v>156</v>
      </c>
      <c r="B274" t="s">
        <v>72</v>
      </c>
      <c r="C274" s="4">
        <v>0.19</v>
      </c>
    </row>
    <row r="275" spans="1:3" x14ac:dyDescent="0.25">
      <c r="A275" t="s">
        <v>156</v>
      </c>
      <c r="B275" t="s">
        <v>74</v>
      </c>
      <c r="C275" s="4">
        <v>0.19</v>
      </c>
    </row>
    <row r="276" spans="1:3" x14ac:dyDescent="0.25">
      <c r="A276" t="s">
        <v>156</v>
      </c>
      <c r="B276" t="s">
        <v>76</v>
      </c>
      <c r="C276" s="4">
        <v>0.19</v>
      </c>
    </row>
    <row r="277" spans="1:3" x14ac:dyDescent="0.25">
      <c r="A277" t="s">
        <v>156</v>
      </c>
      <c r="B277" t="s">
        <v>78</v>
      </c>
      <c r="C277" s="4">
        <v>0.19</v>
      </c>
    </row>
    <row r="278" spans="1:3" x14ac:dyDescent="0.25">
      <c r="A278" t="s">
        <v>156</v>
      </c>
      <c r="B278" t="s">
        <v>80</v>
      </c>
      <c r="C278" s="4">
        <v>0.19</v>
      </c>
    </row>
    <row r="279" spans="1:3" x14ac:dyDescent="0.25">
      <c r="A279" t="s">
        <v>156</v>
      </c>
      <c r="B279" t="s">
        <v>82</v>
      </c>
      <c r="C279" s="4">
        <v>0.19</v>
      </c>
    </row>
    <row r="280" spans="1:3" x14ac:dyDescent="0.25">
      <c r="A280" t="s">
        <v>156</v>
      </c>
      <c r="B280" t="s">
        <v>84</v>
      </c>
      <c r="C280" s="4">
        <v>7.0000000000000007E-2</v>
      </c>
    </row>
    <row r="281" spans="1:3" x14ac:dyDescent="0.25">
      <c r="A281" t="s">
        <v>156</v>
      </c>
      <c r="B281" t="s">
        <v>86</v>
      </c>
      <c r="C281" s="4">
        <v>7.0000000000000007E-2</v>
      </c>
    </row>
    <row r="282" spans="1:3" x14ac:dyDescent="0.25">
      <c r="A282" t="s">
        <v>156</v>
      </c>
      <c r="B282" t="s">
        <v>88</v>
      </c>
      <c r="C282" s="4">
        <v>7.0000000000000007E-2</v>
      </c>
    </row>
    <row r="283" spans="1:3" x14ac:dyDescent="0.25">
      <c r="A283" t="s">
        <v>156</v>
      </c>
      <c r="B283" t="s">
        <v>90</v>
      </c>
      <c r="C283" s="4">
        <v>0.19</v>
      </c>
    </row>
    <row r="284" spans="1:3" x14ac:dyDescent="0.25">
      <c r="A284" t="s">
        <v>156</v>
      </c>
      <c r="B284" t="s">
        <v>92</v>
      </c>
      <c r="C284" s="4">
        <v>0.19</v>
      </c>
    </row>
    <row r="285" spans="1:3" x14ac:dyDescent="0.25">
      <c r="A285" t="s">
        <v>156</v>
      </c>
      <c r="B285" t="s">
        <v>94</v>
      </c>
      <c r="C285" s="4">
        <v>0.19</v>
      </c>
    </row>
    <row r="286" spans="1:3" x14ac:dyDescent="0.25">
      <c r="A286" t="s">
        <v>156</v>
      </c>
      <c r="B286" t="s">
        <v>96</v>
      </c>
      <c r="C286" s="4">
        <v>0.19</v>
      </c>
    </row>
    <row r="287" spans="1:3" x14ac:dyDescent="0.25">
      <c r="A287" t="s">
        <v>156</v>
      </c>
      <c r="B287" t="s">
        <v>98</v>
      </c>
      <c r="C287" s="4">
        <v>0.19</v>
      </c>
    </row>
    <row r="288" spans="1:3" x14ac:dyDescent="0.25">
      <c r="A288" t="s">
        <v>156</v>
      </c>
      <c r="B288" t="s">
        <v>100</v>
      </c>
      <c r="C288" s="4">
        <v>0.19</v>
      </c>
    </row>
    <row r="289" spans="1:3" x14ac:dyDescent="0.25">
      <c r="A289" t="s">
        <v>156</v>
      </c>
      <c r="B289" t="s">
        <v>102</v>
      </c>
      <c r="C289" s="4">
        <v>0.19</v>
      </c>
    </row>
    <row r="290" spans="1:3" x14ac:dyDescent="0.25">
      <c r="A290" t="s">
        <v>156</v>
      </c>
      <c r="B290" t="s">
        <v>104</v>
      </c>
      <c r="C290" s="4">
        <v>0.19</v>
      </c>
    </row>
    <row r="291" spans="1:3" x14ac:dyDescent="0.25">
      <c r="A291" t="s">
        <v>156</v>
      </c>
      <c r="B291" t="s">
        <v>106</v>
      </c>
      <c r="C291" s="4">
        <v>0.19</v>
      </c>
    </row>
    <row r="292" spans="1:3" x14ac:dyDescent="0.25">
      <c r="A292" t="s">
        <v>156</v>
      </c>
      <c r="B292" t="s">
        <v>108</v>
      </c>
      <c r="C292" s="4">
        <v>0.19</v>
      </c>
    </row>
    <row r="293" spans="1:3" x14ac:dyDescent="0.25">
      <c r="A293" t="s">
        <v>156</v>
      </c>
      <c r="B293" t="s">
        <v>110</v>
      </c>
      <c r="C293" s="4">
        <v>0.19</v>
      </c>
    </row>
    <row r="294" spans="1:3" x14ac:dyDescent="0.25">
      <c r="A294" t="s">
        <v>156</v>
      </c>
      <c r="B294" t="s">
        <v>112</v>
      </c>
      <c r="C294" s="4">
        <v>0.19</v>
      </c>
    </row>
    <row r="295" spans="1:3" x14ac:dyDescent="0.25">
      <c r="A295" t="s">
        <v>156</v>
      </c>
      <c r="B295" t="s">
        <v>114</v>
      </c>
      <c r="C295" s="4">
        <v>0.19</v>
      </c>
    </row>
    <row r="296" spans="1:3" x14ac:dyDescent="0.25">
      <c r="A296" t="s">
        <v>156</v>
      </c>
      <c r="B296" t="s">
        <v>116</v>
      </c>
      <c r="C296" s="4">
        <v>0.19</v>
      </c>
    </row>
    <row r="297" spans="1:3" x14ac:dyDescent="0.25">
      <c r="A297" t="s">
        <v>165</v>
      </c>
      <c r="B297" t="s">
        <v>0</v>
      </c>
      <c r="C297" s="4">
        <v>0.1</v>
      </c>
    </row>
    <row r="298" spans="1:3" x14ac:dyDescent="0.25">
      <c r="A298" t="s">
        <v>165</v>
      </c>
      <c r="B298" t="s">
        <v>2</v>
      </c>
      <c r="C298" s="4">
        <v>0.1</v>
      </c>
    </row>
    <row r="299" spans="1:3" x14ac:dyDescent="0.25">
      <c r="A299" t="s">
        <v>165</v>
      </c>
      <c r="B299" t="s">
        <v>4</v>
      </c>
      <c r="C299" s="4">
        <v>0.1</v>
      </c>
    </row>
    <row r="300" spans="1:3" x14ac:dyDescent="0.25">
      <c r="A300" t="s">
        <v>165</v>
      </c>
      <c r="B300" t="s">
        <v>6</v>
      </c>
      <c r="C300" s="4">
        <v>0.1</v>
      </c>
    </row>
    <row r="301" spans="1:3" x14ac:dyDescent="0.25">
      <c r="A301" t="s">
        <v>165</v>
      </c>
      <c r="B301" t="s">
        <v>8</v>
      </c>
      <c r="C301" s="4">
        <v>0.21</v>
      </c>
    </row>
    <row r="302" spans="1:3" x14ac:dyDescent="0.25">
      <c r="A302" t="s">
        <v>165</v>
      </c>
      <c r="B302" t="s">
        <v>10</v>
      </c>
      <c r="C302" s="4">
        <v>0.21</v>
      </c>
    </row>
    <row r="303" spans="1:3" x14ac:dyDescent="0.25">
      <c r="A303" t="s">
        <v>165</v>
      </c>
      <c r="B303" t="s">
        <v>12</v>
      </c>
      <c r="C303" s="4">
        <v>0.21</v>
      </c>
    </row>
    <row r="304" spans="1:3" x14ac:dyDescent="0.25">
      <c r="A304" t="s">
        <v>165</v>
      </c>
      <c r="B304" t="s">
        <v>14</v>
      </c>
      <c r="C304" s="4">
        <v>0.21</v>
      </c>
    </row>
    <row r="305" spans="1:3" x14ac:dyDescent="0.25">
      <c r="A305" t="s">
        <v>165</v>
      </c>
      <c r="B305" t="s">
        <v>16</v>
      </c>
      <c r="C305" s="4">
        <v>0.1</v>
      </c>
    </row>
    <row r="306" spans="1:3" x14ac:dyDescent="0.25">
      <c r="A306" t="s">
        <v>165</v>
      </c>
      <c r="B306" t="s">
        <v>18</v>
      </c>
      <c r="C306" s="4">
        <v>0.21</v>
      </c>
    </row>
    <row r="307" spans="1:3" x14ac:dyDescent="0.25">
      <c r="A307" t="s">
        <v>165</v>
      </c>
      <c r="B307" t="s">
        <v>20</v>
      </c>
      <c r="C307" s="4">
        <v>0.21</v>
      </c>
    </row>
    <row r="308" spans="1:3" x14ac:dyDescent="0.25">
      <c r="A308" t="s">
        <v>165</v>
      </c>
      <c r="B308" t="s">
        <v>22</v>
      </c>
      <c r="C308" s="4">
        <v>0.21</v>
      </c>
    </row>
    <row r="309" spans="1:3" x14ac:dyDescent="0.25">
      <c r="A309" t="s">
        <v>165</v>
      </c>
      <c r="B309" t="s">
        <v>24</v>
      </c>
      <c r="C309" s="4">
        <v>0.21</v>
      </c>
    </row>
    <row r="310" spans="1:3" x14ac:dyDescent="0.25">
      <c r="A310" t="s">
        <v>165</v>
      </c>
      <c r="B310" t="s">
        <v>26</v>
      </c>
      <c r="C310" s="4">
        <v>0.21</v>
      </c>
    </row>
    <row r="311" spans="1:3" x14ac:dyDescent="0.25">
      <c r="A311" t="s">
        <v>165</v>
      </c>
      <c r="B311" t="s">
        <v>28</v>
      </c>
      <c r="C311" s="4">
        <v>0.21</v>
      </c>
    </row>
    <row r="312" spans="1:3" x14ac:dyDescent="0.25">
      <c r="A312" t="s">
        <v>165</v>
      </c>
      <c r="B312" t="s">
        <v>30</v>
      </c>
      <c r="C312" s="4">
        <v>0.21</v>
      </c>
    </row>
    <row r="313" spans="1:3" x14ac:dyDescent="0.25">
      <c r="A313" t="s">
        <v>165</v>
      </c>
      <c r="B313" t="s">
        <v>32</v>
      </c>
      <c r="C313" s="4">
        <v>0.21</v>
      </c>
    </row>
    <row r="314" spans="1:3" x14ac:dyDescent="0.25">
      <c r="A314" t="s">
        <v>165</v>
      </c>
      <c r="B314" t="s">
        <v>34</v>
      </c>
      <c r="C314" s="4">
        <v>0.21</v>
      </c>
    </row>
    <row r="315" spans="1:3" x14ac:dyDescent="0.25">
      <c r="A315" t="s">
        <v>165</v>
      </c>
      <c r="B315" t="s">
        <v>36</v>
      </c>
      <c r="C315" s="4">
        <v>0.21</v>
      </c>
    </row>
    <row r="316" spans="1:3" x14ac:dyDescent="0.25">
      <c r="A316" t="s">
        <v>165</v>
      </c>
      <c r="B316" t="s">
        <v>38</v>
      </c>
      <c r="C316" s="4">
        <v>0.21</v>
      </c>
    </row>
    <row r="317" spans="1:3" x14ac:dyDescent="0.25">
      <c r="A317" t="s">
        <v>165</v>
      </c>
      <c r="B317" t="s">
        <v>40</v>
      </c>
      <c r="C317" s="4">
        <v>0.21</v>
      </c>
    </row>
    <row r="318" spans="1:3" x14ac:dyDescent="0.25">
      <c r="A318" t="s">
        <v>165</v>
      </c>
      <c r="B318" t="s">
        <v>42</v>
      </c>
      <c r="C318" s="4">
        <v>0.21</v>
      </c>
    </row>
    <row r="319" spans="1:3" x14ac:dyDescent="0.25">
      <c r="A319" t="s">
        <v>165</v>
      </c>
      <c r="B319" t="s">
        <v>44</v>
      </c>
      <c r="C319" s="4">
        <v>0.21</v>
      </c>
    </row>
    <row r="320" spans="1:3" x14ac:dyDescent="0.25">
      <c r="A320" t="s">
        <v>165</v>
      </c>
      <c r="B320" t="s">
        <v>46</v>
      </c>
      <c r="C320" s="4">
        <v>0.21</v>
      </c>
    </row>
    <row r="321" spans="1:3" x14ac:dyDescent="0.25">
      <c r="A321" t="s">
        <v>165</v>
      </c>
      <c r="B321" t="s">
        <v>48</v>
      </c>
      <c r="C321" s="4">
        <v>0.21</v>
      </c>
    </row>
    <row r="322" spans="1:3" x14ac:dyDescent="0.25">
      <c r="A322" t="s">
        <v>165</v>
      </c>
      <c r="B322" t="s">
        <v>50</v>
      </c>
      <c r="C322" s="4">
        <v>0.21</v>
      </c>
    </row>
    <row r="323" spans="1:3" x14ac:dyDescent="0.25">
      <c r="A323" t="s">
        <v>165</v>
      </c>
      <c r="B323" t="s">
        <v>52</v>
      </c>
      <c r="C323" s="4">
        <v>0.21</v>
      </c>
    </row>
    <row r="324" spans="1:3" x14ac:dyDescent="0.25">
      <c r="A324" t="s">
        <v>165</v>
      </c>
      <c r="B324" t="s">
        <v>54</v>
      </c>
      <c r="C324" s="4">
        <v>0.21</v>
      </c>
    </row>
    <row r="325" spans="1:3" x14ac:dyDescent="0.25">
      <c r="A325" t="s">
        <v>165</v>
      </c>
      <c r="B325" t="s">
        <v>56</v>
      </c>
      <c r="C325" s="4">
        <v>0.21</v>
      </c>
    </row>
    <row r="326" spans="1:3" x14ac:dyDescent="0.25">
      <c r="A326" t="s">
        <v>165</v>
      </c>
      <c r="B326" t="s">
        <v>58</v>
      </c>
      <c r="C326" s="4">
        <v>0.21</v>
      </c>
    </row>
    <row r="327" spans="1:3" x14ac:dyDescent="0.25">
      <c r="A327" t="s">
        <v>165</v>
      </c>
      <c r="B327" t="s">
        <v>60</v>
      </c>
      <c r="C327" s="4">
        <v>0.21</v>
      </c>
    </row>
    <row r="328" spans="1:3" x14ac:dyDescent="0.25">
      <c r="A328" t="s">
        <v>165</v>
      </c>
      <c r="B328" t="s">
        <v>62</v>
      </c>
      <c r="C328" s="4">
        <v>0.21</v>
      </c>
    </row>
    <row r="329" spans="1:3" x14ac:dyDescent="0.25">
      <c r="A329" t="s">
        <v>165</v>
      </c>
      <c r="B329" t="s">
        <v>64</v>
      </c>
      <c r="C329" s="4">
        <v>0.21</v>
      </c>
    </row>
    <row r="330" spans="1:3" x14ac:dyDescent="0.25">
      <c r="A330" t="s">
        <v>165</v>
      </c>
      <c r="B330" t="s">
        <v>66</v>
      </c>
      <c r="C330" s="4">
        <v>0.1</v>
      </c>
    </row>
    <row r="331" spans="1:3" x14ac:dyDescent="0.25">
      <c r="A331" t="s">
        <v>165</v>
      </c>
      <c r="B331" t="s">
        <v>68</v>
      </c>
      <c r="C331" s="4">
        <v>0.21</v>
      </c>
    </row>
    <row r="332" spans="1:3" x14ac:dyDescent="0.25">
      <c r="A332" t="s">
        <v>165</v>
      </c>
      <c r="B332" t="s">
        <v>70</v>
      </c>
      <c r="C332" s="4">
        <v>0.21</v>
      </c>
    </row>
    <row r="333" spans="1:3" x14ac:dyDescent="0.25">
      <c r="A333" t="s">
        <v>165</v>
      </c>
      <c r="B333" t="s">
        <v>72</v>
      </c>
      <c r="C333" s="4">
        <v>0.21</v>
      </c>
    </row>
    <row r="334" spans="1:3" x14ac:dyDescent="0.25">
      <c r="A334" t="s">
        <v>165</v>
      </c>
      <c r="B334" t="s">
        <v>74</v>
      </c>
      <c r="C334" s="4">
        <v>0.21</v>
      </c>
    </row>
    <row r="335" spans="1:3" x14ac:dyDescent="0.25">
      <c r="A335" t="s">
        <v>165</v>
      </c>
      <c r="B335" t="s">
        <v>76</v>
      </c>
      <c r="C335" s="4">
        <v>0.21</v>
      </c>
    </row>
    <row r="336" spans="1:3" x14ac:dyDescent="0.25">
      <c r="A336" t="s">
        <v>165</v>
      </c>
      <c r="B336" t="s">
        <v>78</v>
      </c>
      <c r="C336" s="4">
        <v>0.1</v>
      </c>
    </row>
    <row r="337" spans="1:3" x14ac:dyDescent="0.25">
      <c r="A337" t="s">
        <v>165</v>
      </c>
      <c r="B337" t="s">
        <v>80</v>
      </c>
      <c r="C337" s="4">
        <v>0.21</v>
      </c>
    </row>
    <row r="338" spans="1:3" x14ac:dyDescent="0.25">
      <c r="A338" t="s">
        <v>165</v>
      </c>
      <c r="B338" t="s">
        <v>82</v>
      </c>
      <c r="C338" s="4">
        <v>0.21</v>
      </c>
    </row>
    <row r="339" spans="1:3" x14ac:dyDescent="0.25">
      <c r="A339" t="s">
        <v>165</v>
      </c>
      <c r="B339" t="s">
        <v>84</v>
      </c>
      <c r="C339" s="4">
        <v>0.1</v>
      </c>
    </row>
    <row r="340" spans="1:3" x14ac:dyDescent="0.25">
      <c r="A340" t="s">
        <v>165</v>
      </c>
      <c r="B340" t="s">
        <v>86</v>
      </c>
      <c r="C340" s="4">
        <v>0.1</v>
      </c>
    </row>
    <row r="341" spans="1:3" x14ac:dyDescent="0.25">
      <c r="A341" t="s">
        <v>165</v>
      </c>
      <c r="B341" t="s">
        <v>88</v>
      </c>
      <c r="C341" s="4">
        <v>0.1</v>
      </c>
    </row>
    <row r="342" spans="1:3" x14ac:dyDescent="0.25">
      <c r="A342" t="s">
        <v>165</v>
      </c>
      <c r="B342" t="s">
        <v>90</v>
      </c>
      <c r="C342" s="4">
        <v>0.21</v>
      </c>
    </row>
    <row r="343" spans="1:3" x14ac:dyDescent="0.25">
      <c r="A343" t="s">
        <v>165</v>
      </c>
      <c r="B343" t="s">
        <v>92</v>
      </c>
      <c r="C343" s="4">
        <v>0.21</v>
      </c>
    </row>
    <row r="344" spans="1:3" x14ac:dyDescent="0.25">
      <c r="A344" t="s">
        <v>165</v>
      </c>
      <c r="B344" t="s">
        <v>94</v>
      </c>
      <c r="C344" s="4">
        <v>0.21</v>
      </c>
    </row>
    <row r="345" spans="1:3" x14ac:dyDescent="0.25">
      <c r="A345" t="s">
        <v>165</v>
      </c>
      <c r="B345" t="s">
        <v>96</v>
      </c>
      <c r="C345" s="4">
        <v>0.21</v>
      </c>
    </row>
    <row r="346" spans="1:3" x14ac:dyDescent="0.25">
      <c r="A346" t="s">
        <v>165</v>
      </c>
      <c r="B346" t="s">
        <v>98</v>
      </c>
      <c r="C346" s="4">
        <v>0.21</v>
      </c>
    </row>
    <row r="347" spans="1:3" x14ac:dyDescent="0.25">
      <c r="A347" t="s">
        <v>165</v>
      </c>
      <c r="B347" t="s">
        <v>100</v>
      </c>
      <c r="C347" s="4">
        <v>0.21</v>
      </c>
    </row>
    <row r="348" spans="1:3" x14ac:dyDescent="0.25">
      <c r="A348" t="s">
        <v>165</v>
      </c>
      <c r="B348" t="s">
        <v>102</v>
      </c>
      <c r="C348" s="4">
        <v>0.21</v>
      </c>
    </row>
    <row r="349" spans="1:3" x14ac:dyDescent="0.25">
      <c r="A349" t="s">
        <v>165</v>
      </c>
      <c r="B349" t="s">
        <v>104</v>
      </c>
      <c r="C349" s="4">
        <v>0.21</v>
      </c>
    </row>
    <row r="350" spans="1:3" x14ac:dyDescent="0.25">
      <c r="A350" t="s">
        <v>165</v>
      </c>
      <c r="B350" t="s">
        <v>106</v>
      </c>
      <c r="C350" s="4">
        <v>0.21</v>
      </c>
    </row>
    <row r="351" spans="1:3" x14ac:dyDescent="0.25">
      <c r="A351" t="s">
        <v>165</v>
      </c>
      <c r="B351" t="s">
        <v>108</v>
      </c>
      <c r="C351" s="4">
        <v>0.21</v>
      </c>
    </row>
    <row r="352" spans="1:3" x14ac:dyDescent="0.25">
      <c r="A352" t="s">
        <v>165</v>
      </c>
      <c r="B352" t="s">
        <v>110</v>
      </c>
      <c r="C352" s="4">
        <v>0.21</v>
      </c>
    </row>
    <row r="353" spans="1:3" x14ac:dyDescent="0.25">
      <c r="A353" t="s">
        <v>165</v>
      </c>
      <c r="B353" t="s">
        <v>112</v>
      </c>
      <c r="C353" s="4">
        <v>0.21</v>
      </c>
    </row>
    <row r="354" spans="1:3" x14ac:dyDescent="0.25">
      <c r="A354" t="s">
        <v>165</v>
      </c>
      <c r="B354" t="s">
        <v>114</v>
      </c>
      <c r="C354" s="4">
        <v>0.21</v>
      </c>
    </row>
    <row r="355" spans="1:3" x14ac:dyDescent="0.25">
      <c r="A355" t="s">
        <v>165</v>
      </c>
      <c r="B355" t="s">
        <v>116</v>
      </c>
      <c r="C355" s="4">
        <v>0.21</v>
      </c>
    </row>
    <row r="356" spans="1:3" x14ac:dyDescent="0.25">
      <c r="A356" t="s">
        <v>158</v>
      </c>
      <c r="B356" t="s">
        <v>0</v>
      </c>
      <c r="C356" s="4">
        <v>5.5E-2</v>
      </c>
    </row>
    <row r="357" spans="1:3" x14ac:dyDescent="0.25">
      <c r="A357" t="s">
        <v>158</v>
      </c>
      <c r="B357" t="s">
        <v>2</v>
      </c>
      <c r="C357" s="4">
        <v>5.5E-2</v>
      </c>
    </row>
    <row r="358" spans="1:3" x14ac:dyDescent="0.25">
      <c r="A358" t="s">
        <v>158</v>
      </c>
      <c r="B358" t="s">
        <v>4</v>
      </c>
      <c r="C358" s="4">
        <v>5.5E-2</v>
      </c>
    </row>
    <row r="359" spans="1:3" x14ac:dyDescent="0.25">
      <c r="A359" t="s">
        <v>158</v>
      </c>
      <c r="B359" t="s">
        <v>6</v>
      </c>
      <c r="C359" s="4">
        <v>5.5E-2</v>
      </c>
    </row>
    <row r="360" spans="1:3" x14ac:dyDescent="0.25">
      <c r="A360" t="s">
        <v>158</v>
      </c>
      <c r="B360" t="s">
        <v>8</v>
      </c>
      <c r="C360" s="4">
        <v>0.2</v>
      </c>
    </row>
    <row r="361" spans="1:3" x14ac:dyDescent="0.25">
      <c r="A361" t="s">
        <v>158</v>
      </c>
      <c r="B361" t="s">
        <v>10</v>
      </c>
      <c r="C361" s="4">
        <v>0.2</v>
      </c>
    </row>
    <row r="362" spans="1:3" x14ac:dyDescent="0.25">
      <c r="A362" t="s">
        <v>158</v>
      </c>
      <c r="B362" t="s">
        <v>12</v>
      </c>
      <c r="C362" s="4">
        <v>0.2</v>
      </c>
    </row>
    <row r="363" spans="1:3" x14ac:dyDescent="0.25">
      <c r="A363" t="s">
        <v>158</v>
      </c>
      <c r="B363" t="s">
        <v>14</v>
      </c>
      <c r="C363" s="4">
        <v>0.2</v>
      </c>
    </row>
    <row r="364" spans="1:3" x14ac:dyDescent="0.25">
      <c r="A364" t="s">
        <v>158</v>
      </c>
      <c r="B364" t="s">
        <v>16</v>
      </c>
      <c r="C364" s="4">
        <v>5.5E-2</v>
      </c>
    </row>
    <row r="365" spans="1:3" x14ac:dyDescent="0.25">
      <c r="A365" t="s">
        <v>158</v>
      </c>
      <c r="B365" t="s">
        <v>18</v>
      </c>
      <c r="C365" s="4">
        <v>0.2</v>
      </c>
    </row>
    <row r="366" spans="1:3" x14ac:dyDescent="0.25">
      <c r="A366" t="s">
        <v>158</v>
      </c>
      <c r="B366" t="s">
        <v>20</v>
      </c>
      <c r="C366" s="4">
        <v>0.2</v>
      </c>
    </row>
    <row r="367" spans="1:3" x14ac:dyDescent="0.25">
      <c r="A367" t="s">
        <v>158</v>
      </c>
      <c r="B367" t="s">
        <v>22</v>
      </c>
      <c r="C367" s="4">
        <v>0.2</v>
      </c>
    </row>
    <row r="368" spans="1:3" x14ac:dyDescent="0.25">
      <c r="A368" t="s">
        <v>158</v>
      </c>
      <c r="B368" t="s">
        <v>24</v>
      </c>
      <c r="C368" s="4">
        <v>0.2</v>
      </c>
    </row>
    <row r="369" spans="1:3" x14ac:dyDescent="0.25">
      <c r="A369" t="s">
        <v>158</v>
      </c>
      <c r="B369" t="s">
        <v>26</v>
      </c>
      <c r="C369" s="4">
        <v>0.2</v>
      </c>
    </row>
    <row r="370" spans="1:3" x14ac:dyDescent="0.25">
      <c r="A370" t="s">
        <v>158</v>
      </c>
      <c r="B370" t="s">
        <v>28</v>
      </c>
      <c r="C370" s="4">
        <v>0.2</v>
      </c>
    </row>
    <row r="371" spans="1:3" x14ac:dyDescent="0.25">
      <c r="A371" t="s">
        <v>158</v>
      </c>
      <c r="B371" t="s">
        <v>30</v>
      </c>
      <c r="C371" s="4">
        <v>0.2</v>
      </c>
    </row>
    <row r="372" spans="1:3" x14ac:dyDescent="0.25">
      <c r="A372" t="s">
        <v>158</v>
      </c>
      <c r="B372" t="s">
        <v>32</v>
      </c>
      <c r="C372" s="4">
        <v>0.2</v>
      </c>
    </row>
    <row r="373" spans="1:3" x14ac:dyDescent="0.25">
      <c r="A373" t="s">
        <v>158</v>
      </c>
      <c r="B373" t="s">
        <v>34</v>
      </c>
      <c r="C373" s="4">
        <v>0.2</v>
      </c>
    </row>
    <row r="374" spans="1:3" x14ac:dyDescent="0.25">
      <c r="A374" t="s">
        <v>158</v>
      </c>
      <c r="B374" t="s">
        <v>36</v>
      </c>
      <c r="C374" s="4">
        <v>0.2</v>
      </c>
    </row>
    <row r="375" spans="1:3" x14ac:dyDescent="0.25">
      <c r="A375" t="s">
        <v>158</v>
      </c>
      <c r="B375" t="s">
        <v>38</v>
      </c>
      <c r="C375" s="4">
        <v>0.2</v>
      </c>
    </row>
    <row r="376" spans="1:3" x14ac:dyDescent="0.25">
      <c r="A376" t="s">
        <v>158</v>
      </c>
      <c r="B376" t="s">
        <v>40</v>
      </c>
      <c r="C376" s="4">
        <v>0.2</v>
      </c>
    </row>
    <row r="377" spans="1:3" x14ac:dyDescent="0.25">
      <c r="A377" t="s">
        <v>158</v>
      </c>
      <c r="B377" t="s">
        <v>42</v>
      </c>
      <c r="C377" s="4">
        <v>0.2</v>
      </c>
    </row>
    <row r="378" spans="1:3" x14ac:dyDescent="0.25">
      <c r="A378" t="s">
        <v>158</v>
      </c>
      <c r="B378" t="s">
        <v>44</v>
      </c>
      <c r="C378" s="4">
        <v>0.2</v>
      </c>
    </row>
    <row r="379" spans="1:3" x14ac:dyDescent="0.25">
      <c r="A379" t="s">
        <v>158</v>
      </c>
      <c r="B379" t="s">
        <v>46</v>
      </c>
      <c r="C379" s="4">
        <v>0.2</v>
      </c>
    </row>
    <row r="380" spans="1:3" x14ac:dyDescent="0.25">
      <c r="A380" t="s">
        <v>158</v>
      </c>
      <c r="B380" t="s">
        <v>48</v>
      </c>
      <c r="C380" s="4">
        <v>0.2</v>
      </c>
    </row>
    <row r="381" spans="1:3" x14ac:dyDescent="0.25">
      <c r="A381" t="s">
        <v>158</v>
      </c>
      <c r="B381" t="s">
        <v>50</v>
      </c>
      <c r="C381" s="4">
        <v>0.2</v>
      </c>
    </row>
    <row r="382" spans="1:3" x14ac:dyDescent="0.25">
      <c r="A382" t="s">
        <v>158</v>
      </c>
      <c r="B382" t="s">
        <v>52</v>
      </c>
      <c r="C382" s="4">
        <v>0.2</v>
      </c>
    </row>
    <row r="383" spans="1:3" x14ac:dyDescent="0.25">
      <c r="A383" t="s">
        <v>158</v>
      </c>
      <c r="B383" t="s">
        <v>54</v>
      </c>
      <c r="C383" s="4">
        <v>0.2</v>
      </c>
    </row>
    <row r="384" spans="1:3" x14ac:dyDescent="0.25">
      <c r="A384" t="s">
        <v>158</v>
      </c>
      <c r="B384" t="s">
        <v>56</v>
      </c>
      <c r="C384" s="4">
        <v>0.2</v>
      </c>
    </row>
    <row r="385" spans="1:3" x14ac:dyDescent="0.25">
      <c r="A385" t="s">
        <v>158</v>
      </c>
      <c r="B385" t="s">
        <v>58</v>
      </c>
      <c r="C385" s="4">
        <v>0.2</v>
      </c>
    </row>
    <row r="386" spans="1:3" x14ac:dyDescent="0.25">
      <c r="A386" t="s">
        <v>158</v>
      </c>
      <c r="B386" t="s">
        <v>60</v>
      </c>
      <c r="C386" s="4">
        <v>0.2</v>
      </c>
    </row>
    <row r="387" spans="1:3" x14ac:dyDescent="0.25">
      <c r="A387" t="s">
        <v>158</v>
      </c>
      <c r="B387" t="s">
        <v>62</v>
      </c>
      <c r="C387" s="4">
        <v>0.2</v>
      </c>
    </row>
    <row r="388" spans="1:3" x14ac:dyDescent="0.25">
      <c r="A388" t="s">
        <v>158</v>
      </c>
      <c r="B388" t="s">
        <v>64</v>
      </c>
      <c r="C388" s="4">
        <v>0.2</v>
      </c>
    </row>
    <row r="389" spans="1:3" x14ac:dyDescent="0.25">
      <c r="A389" t="s">
        <v>158</v>
      </c>
      <c r="B389" t="s">
        <v>66</v>
      </c>
      <c r="C389" s="4">
        <v>0.2</v>
      </c>
    </row>
    <row r="390" spans="1:3" x14ac:dyDescent="0.25">
      <c r="A390" t="s">
        <v>158</v>
      </c>
      <c r="B390" t="s">
        <v>68</v>
      </c>
      <c r="C390" s="4">
        <v>0.2</v>
      </c>
    </row>
    <row r="391" spans="1:3" x14ac:dyDescent="0.25">
      <c r="A391" t="s">
        <v>158</v>
      </c>
      <c r="B391" t="s">
        <v>70</v>
      </c>
      <c r="C391" s="4">
        <v>0.2</v>
      </c>
    </row>
    <row r="392" spans="1:3" x14ac:dyDescent="0.25">
      <c r="A392" t="s">
        <v>158</v>
      </c>
      <c r="B392" t="s">
        <v>72</v>
      </c>
      <c r="C392" s="4">
        <v>0.2</v>
      </c>
    </row>
    <row r="393" spans="1:3" x14ac:dyDescent="0.25">
      <c r="A393" t="s">
        <v>158</v>
      </c>
      <c r="B393" t="s">
        <v>74</v>
      </c>
      <c r="C393" s="4">
        <v>0.2</v>
      </c>
    </row>
    <row r="394" spans="1:3" x14ac:dyDescent="0.25">
      <c r="A394" t="s">
        <v>158</v>
      </c>
      <c r="B394" t="s">
        <v>76</v>
      </c>
      <c r="C394" s="4">
        <v>0.2</v>
      </c>
    </row>
    <row r="395" spans="1:3" x14ac:dyDescent="0.25">
      <c r="A395" t="s">
        <v>158</v>
      </c>
      <c r="B395" t="s">
        <v>78</v>
      </c>
      <c r="C395" s="4">
        <v>0.2</v>
      </c>
    </row>
    <row r="396" spans="1:3" x14ac:dyDescent="0.25">
      <c r="A396" t="s">
        <v>158</v>
      </c>
      <c r="B396" t="s">
        <v>80</v>
      </c>
      <c r="C396" s="4">
        <v>5.5E-2</v>
      </c>
    </row>
    <row r="397" spans="1:3" x14ac:dyDescent="0.25">
      <c r="A397" t="s">
        <v>158</v>
      </c>
      <c r="B397" t="s">
        <v>82</v>
      </c>
      <c r="C397" s="4">
        <v>0.2</v>
      </c>
    </row>
    <row r="398" spans="1:3" x14ac:dyDescent="0.25">
      <c r="A398" t="s">
        <v>158</v>
      </c>
      <c r="B398" t="s">
        <v>84</v>
      </c>
      <c r="C398" s="4">
        <v>0.2</v>
      </c>
    </row>
    <row r="399" spans="1:3" x14ac:dyDescent="0.25">
      <c r="A399" t="s">
        <v>158</v>
      </c>
      <c r="B399" t="s">
        <v>86</v>
      </c>
      <c r="C399" s="4">
        <v>0.2</v>
      </c>
    </row>
    <row r="400" spans="1:3" x14ac:dyDescent="0.25">
      <c r="A400" t="s">
        <v>158</v>
      </c>
      <c r="B400" t="s">
        <v>88</v>
      </c>
      <c r="C400" s="4">
        <v>0.2</v>
      </c>
    </row>
    <row r="401" spans="1:3" x14ac:dyDescent="0.25">
      <c r="A401" t="s">
        <v>158</v>
      </c>
      <c r="B401" t="s">
        <v>90</v>
      </c>
      <c r="C401" s="4">
        <v>0.2</v>
      </c>
    </row>
    <row r="402" spans="1:3" x14ac:dyDescent="0.25">
      <c r="A402" t="s">
        <v>158</v>
      </c>
      <c r="B402" t="s">
        <v>92</v>
      </c>
      <c r="C402" s="4">
        <v>0.2</v>
      </c>
    </row>
    <row r="403" spans="1:3" x14ac:dyDescent="0.25">
      <c r="A403" t="s">
        <v>158</v>
      </c>
      <c r="B403" t="s">
        <v>94</v>
      </c>
      <c r="C403" s="4">
        <v>0.2</v>
      </c>
    </row>
    <row r="404" spans="1:3" x14ac:dyDescent="0.25">
      <c r="A404" t="s">
        <v>158</v>
      </c>
      <c r="B404" t="s">
        <v>96</v>
      </c>
      <c r="C404" s="4">
        <v>0.2</v>
      </c>
    </row>
    <row r="405" spans="1:3" x14ac:dyDescent="0.25">
      <c r="A405" t="s">
        <v>158</v>
      </c>
      <c r="B405" t="s">
        <v>98</v>
      </c>
      <c r="C405" s="4">
        <v>0.2</v>
      </c>
    </row>
    <row r="406" spans="1:3" x14ac:dyDescent="0.25">
      <c r="A406" t="s">
        <v>158</v>
      </c>
      <c r="B406" t="s">
        <v>100</v>
      </c>
      <c r="C406" s="4">
        <v>0.2</v>
      </c>
    </row>
    <row r="407" spans="1:3" x14ac:dyDescent="0.25">
      <c r="A407" t="s">
        <v>158</v>
      </c>
      <c r="B407" t="s">
        <v>102</v>
      </c>
      <c r="C407" s="4">
        <v>5.5E-2</v>
      </c>
    </row>
    <row r="408" spans="1:3" x14ac:dyDescent="0.25">
      <c r="A408" t="s">
        <v>158</v>
      </c>
      <c r="B408" t="s">
        <v>104</v>
      </c>
      <c r="C408" s="4">
        <v>0.2</v>
      </c>
    </row>
    <row r="409" spans="1:3" x14ac:dyDescent="0.25">
      <c r="A409" t="s">
        <v>158</v>
      </c>
      <c r="B409" t="s">
        <v>106</v>
      </c>
      <c r="C409" s="4">
        <v>0.2</v>
      </c>
    </row>
    <row r="410" spans="1:3" x14ac:dyDescent="0.25">
      <c r="A410" t="s">
        <v>158</v>
      </c>
      <c r="B410" t="s">
        <v>108</v>
      </c>
      <c r="C410" s="4">
        <v>0.2</v>
      </c>
    </row>
    <row r="411" spans="1:3" x14ac:dyDescent="0.25">
      <c r="A411" t="s">
        <v>158</v>
      </c>
      <c r="B411" t="s">
        <v>110</v>
      </c>
      <c r="C411" s="4">
        <v>0.2</v>
      </c>
    </row>
    <row r="412" spans="1:3" x14ac:dyDescent="0.25">
      <c r="A412" t="s">
        <v>158</v>
      </c>
      <c r="B412" t="s">
        <v>112</v>
      </c>
      <c r="C412" s="4">
        <v>0.2</v>
      </c>
    </row>
    <row r="413" spans="1:3" x14ac:dyDescent="0.25">
      <c r="A413" t="s">
        <v>158</v>
      </c>
      <c r="B413" t="s">
        <v>114</v>
      </c>
      <c r="C413" s="4">
        <v>0.2</v>
      </c>
    </row>
    <row r="414" spans="1:3" x14ac:dyDescent="0.25">
      <c r="A414" t="s">
        <v>158</v>
      </c>
      <c r="B414" t="s">
        <v>116</v>
      </c>
      <c r="C414" s="4">
        <v>5.5E-2</v>
      </c>
    </row>
    <row r="415" spans="1:3" x14ac:dyDescent="0.25">
      <c r="A415" t="s">
        <v>199</v>
      </c>
      <c r="B415" t="s">
        <v>0</v>
      </c>
      <c r="C415" s="4">
        <v>0.11</v>
      </c>
    </row>
    <row r="416" spans="1:3" x14ac:dyDescent="0.25">
      <c r="A416" t="s">
        <v>199</v>
      </c>
      <c r="B416" t="s">
        <v>2</v>
      </c>
      <c r="C416" s="4">
        <v>0.11</v>
      </c>
    </row>
    <row r="417" spans="1:3" x14ac:dyDescent="0.25">
      <c r="A417" t="s">
        <v>199</v>
      </c>
      <c r="B417" t="s">
        <v>4</v>
      </c>
      <c r="C417" s="4">
        <v>0.11</v>
      </c>
    </row>
    <row r="418" spans="1:3" x14ac:dyDescent="0.25">
      <c r="A418" t="s">
        <v>199</v>
      </c>
      <c r="B418" t="s">
        <v>6</v>
      </c>
      <c r="C418" s="4">
        <v>0.11</v>
      </c>
    </row>
    <row r="419" spans="1:3" x14ac:dyDescent="0.25">
      <c r="A419" t="s">
        <v>199</v>
      </c>
      <c r="B419" t="s">
        <v>8</v>
      </c>
      <c r="C419" s="4">
        <v>0.11</v>
      </c>
    </row>
    <row r="420" spans="1:3" x14ac:dyDescent="0.25">
      <c r="A420" t="s">
        <v>199</v>
      </c>
      <c r="B420" t="s">
        <v>10</v>
      </c>
      <c r="C420" s="4">
        <v>0.11</v>
      </c>
    </row>
    <row r="421" spans="1:3" x14ac:dyDescent="0.25">
      <c r="A421" t="s">
        <v>199</v>
      </c>
      <c r="B421" t="s">
        <v>12</v>
      </c>
      <c r="C421" s="4">
        <v>0.11</v>
      </c>
    </row>
    <row r="422" spans="1:3" x14ac:dyDescent="0.25">
      <c r="A422" t="s">
        <v>199</v>
      </c>
      <c r="B422" t="s">
        <v>14</v>
      </c>
      <c r="C422" s="4">
        <v>0.11</v>
      </c>
    </row>
    <row r="423" spans="1:3" x14ac:dyDescent="0.25">
      <c r="A423" t="s">
        <v>199</v>
      </c>
      <c r="B423" t="s">
        <v>16</v>
      </c>
      <c r="C423" s="4">
        <v>0.11</v>
      </c>
    </row>
    <row r="424" spans="1:3" x14ac:dyDescent="0.25">
      <c r="A424" t="s">
        <v>199</v>
      </c>
      <c r="B424" t="s">
        <v>18</v>
      </c>
      <c r="C424" s="4">
        <v>0.11</v>
      </c>
    </row>
    <row r="425" spans="1:3" x14ac:dyDescent="0.25">
      <c r="A425" t="s">
        <v>199</v>
      </c>
      <c r="B425" t="s">
        <v>20</v>
      </c>
      <c r="C425" s="4">
        <v>0.11</v>
      </c>
    </row>
    <row r="426" spans="1:3" x14ac:dyDescent="0.25">
      <c r="A426" t="s">
        <v>199</v>
      </c>
      <c r="B426" t="s">
        <v>22</v>
      </c>
      <c r="C426" s="4">
        <v>0.11</v>
      </c>
    </row>
    <row r="427" spans="1:3" x14ac:dyDescent="0.25">
      <c r="A427" t="s">
        <v>199</v>
      </c>
      <c r="B427" t="s">
        <v>24</v>
      </c>
      <c r="C427" s="4">
        <v>0.11</v>
      </c>
    </row>
    <row r="428" spans="1:3" x14ac:dyDescent="0.25">
      <c r="A428" t="s">
        <v>199</v>
      </c>
      <c r="B428" t="s">
        <v>26</v>
      </c>
      <c r="C428" s="4">
        <v>0.11</v>
      </c>
    </row>
    <row r="429" spans="1:3" x14ac:dyDescent="0.25">
      <c r="A429" t="s">
        <v>199</v>
      </c>
      <c r="B429" t="s">
        <v>28</v>
      </c>
      <c r="C429" s="4">
        <v>0.11</v>
      </c>
    </row>
    <row r="430" spans="1:3" x14ac:dyDescent="0.25">
      <c r="A430" t="s">
        <v>199</v>
      </c>
      <c r="B430" t="s">
        <v>30</v>
      </c>
      <c r="C430" s="4">
        <v>0.11</v>
      </c>
    </row>
    <row r="431" spans="1:3" x14ac:dyDescent="0.25">
      <c r="A431" t="s">
        <v>199</v>
      </c>
      <c r="B431" t="s">
        <v>32</v>
      </c>
      <c r="C431" s="4">
        <v>0.11</v>
      </c>
    </row>
    <row r="432" spans="1:3" x14ac:dyDescent="0.25">
      <c r="A432" t="s">
        <v>199</v>
      </c>
      <c r="B432" t="s">
        <v>34</v>
      </c>
      <c r="C432" s="4">
        <v>0.11</v>
      </c>
    </row>
    <row r="433" spans="1:3" x14ac:dyDescent="0.25">
      <c r="A433" t="s">
        <v>199</v>
      </c>
      <c r="B433" t="s">
        <v>36</v>
      </c>
      <c r="C433" s="4">
        <v>0.11</v>
      </c>
    </row>
    <row r="434" spans="1:3" x14ac:dyDescent="0.25">
      <c r="A434" t="s">
        <v>199</v>
      </c>
      <c r="B434" t="s">
        <v>38</v>
      </c>
      <c r="C434" s="4">
        <v>0.11</v>
      </c>
    </row>
    <row r="435" spans="1:3" x14ac:dyDescent="0.25">
      <c r="A435" t="s">
        <v>199</v>
      </c>
      <c r="B435" t="s">
        <v>40</v>
      </c>
      <c r="C435" s="4">
        <v>0.11</v>
      </c>
    </row>
    <row r="436" spans="1:3" x14ac:dyDescent="0.25">
      <c r="A436" t="s">
        <v>199</v>
      </c>
      <c r="B436" t="s">
        <v>42</v>
      </c>
      <c r="C436" s="4">
        <v>0.11</v>
      </c>
    </row>
    <row r="437" spans="1:3" x14ac:dyDescent="0.25">
      <c r="A437" t="s">
        <v>199</v>
      </c>
      <c r="B437" t="s">
        <v>44</v>
      </c>
      <c r="C437" s="4">
        <v>0.11</v>
      </c>
    </row>
    <row r="438" spans="1:3" x14ac:dyDescent="0.25">
      <c r="A438" t="s">
        <v>199</v>
      </c>
      <c r="B438" t="s">
        <v>46</v>
      </c>
      <c r="C438" s="4">
        <v>0.11</v>
      </c>
    </row>
    <row r="439" spans="1:3" x14ac:dyDescent="0.25">
      <c r="A439" t="s">
        <v>199</v>
      </c>
      <c r="B439" t="s">
        <v>48</v>
      </c>
      <c r="C439" s="4">
        <v>0.11</v>
      </c>
    </row>
    <row r="440" spans="1:3" x14ac:dyDescent="0.25">
      <c r="A440" t="s">
        <v>199</v>
      </c>
      <c r="B440" t="s">
        <v>50</v>
      </c>
      <c r="C440" s="4">
        <v>0.11</v>
      </c>
    </row>
    <row r="441" spans="1:3" x14ac:dyDescent="0.25">
      <c r="A441" t="s">
        <v>199</v>
      </c>
      <c r="B441" t="s">
        <v>52</v>
      </c>
      <c r="C441" s="4">
        <v>0.11</v>
      </c>
    </row>
    <row r="442" spans="1:3" x14ac:dyDescent="0.25">
      <c r="A442" t="s">
        <v>199</v>
      </c>
      <c r="B442" t="s">
        <v>54</v>
      </c>
      <c r="C442" s="4">
        <v>0.11</v>
      </c>
    </row>
    <row r="443" spans="1:3" x14ac:dyDescent="0.25">
      <c r="A443" t="s">
        <v>199</v>
      </c>
      <c r="B443" t="s">
        <v>56</v>
      </c>
      <c r="C443" s="4">
        <v>0.11</v>
      </c>
    </row>
    <row r="444" spans="1:3" x14ac:dyDescent="0.25">
      <c r="A444" t="s">
        <v>199</v>
      </c>
      <c r="B444" t="s">
        <v>58</v>
      </c>
      <c r="C444" s="4">
        <v>0.11</v>
      </c>
    </row>
    <row r="445" spans="1:3" x14ac:dyDescent="0.25">
      <c r="A445" t="s">
        <v>199</v>
      </c>
      <c r="B445" t="s">
        <v>60</v>
      </c>
      <c r="C445" s="4">
        <v>0.11</v>
      </c>
    </row>
    <row r="446" spans="1:3" x14ac:dyDescent="0.25">
      <c r="A446" t="s">
        <v>199</v>
      </c>
      <c r="B446" t="s">
        <v>62</v>
      </c>
      <c r="C446" s="4">
        <v>0.11</v>
      </c>
    </row>
    <row r="447" spans="1:3" x14ac:dyDescent="0.25">
      <c r="A447" t="s">
        <v>199</v>
      </c>
      <c r="B447" t="s">
        <v>64</v>
      </c>
      <c r="C447" s="4">
        <v>0.11</v>
      </c>
    </row>
    <row r="448" spans="1:3" x14ac:dyDescent="0.25">
      <c r="A448" t="s">
        <v>199</v>
      </c>
      <c r="B448" t="s">
        <v>66</v>
      </c>
      <c r="C448" s="4">
        <v>0.11</v>
      </c>
    </row>
    <row r="449" spans="1:3" x14ac:dyDescent="0.25">
      <c r="A449" t="s">
        <v>199</v>
      </c>
      <c r="B449" t="s">
        <v>68</v>
      </c>
      <c r="C449" s="4">
        <v>0.11</v>
      </c>
    </row>
    <row r="450" spans="1:3" x14ac:dyDescent="0.25">
      <c r="A450" t="s">
        <v>199</v>
      </c>
      <c r="B450" t="s">
        <v>70</v>
      </c>
      <c r="C450" s="4">
        <v>0.11</v>
      </c>
    </row>
    <row r="451" spans="1:3" x14ac:dyDescent="0.25">
      <c r="A451" t="s">
        <v>199</v>
      </c>
      <c r="B451" t="s">
        <v>72</v>
      </c>
      <c r="C451" s="4">
        <v>0.11</v>
      </c>
    </row>
    <row r="452" spans="1:3" x14ac:dyDescent="0.25">
      <c r="A452" t="s">
        <v>199</v>
      </c>
      <c r="B452" t="s">
        <v>74</v>
      </c>
      <c r="C452" s="4">
        <v>0.11</v>
      </c>
    </row>
    <row r="453" spans="1:3" x14ac:dyDescent="0.25">
      <c r="A453" t="s">
        <v>199</v>
      </c>
      <c r="B453" t="s">
        <v>76</v>
      </c>
      <c r="C453" s="4">
        <v>0.11</v>
      </c>
    </row>
    <row r="454" spans="1:3" x14ac:dyDescent="0.25">
      <c r="A454" t="s">
        <v>199</v>
      </c>
      <c r="B454" t="s">
        <v>78</v>
      </c>
      <c r="C454" s="4">
        <v>0.11</v>
      </c>
    </row>
    <row r="455" spans="1:3" x14ac:dyDescent="0.25">
      <c r="A455" t="s">
        <v>199</v>
      </c>
      <c r="B455" t="s">
        <v>80</v>
      </c>
      <c r="C455" s="4">
        <v>0.11</v>
      </c>
    </row>
    <row r="456" spans="1:3" x14ac:dyDescent="0.25">
      <c r="A456" t="s">
        <v>199</v>
      </c>
      <c r="B456" t="s">
        <v>82</v>
      </c>
      <c r="C456" s="4">
        <v>0.11</v>
      </c>
    </row>
    <row r="457" spans="1:3" x14ac:dyDescent="0.25">
      <c r="A457" t="s">
        <v>199</v>
      </c>
      <c r="B457" t="s">
        <v>84</v>
      </c>
      <c r="C457" s="4">
        <v>0.11</v>
      </c>
    </row>
    <row r="458" spans="1:3" x14ac:dyDescent="0.25">
      <c r="A458" t="s">
        <v>199</v>
      </c>
      <c r="B458" t="s">
        <v>86</v>
      </c>
      <c r="C458" s="4">
        <v>0.11</v>
      </c>
    </row>
    <row r="459" spans="1:3" x14ac:dyDescent="0.25">
      <c r="A459" t="s">
        <v>199</v>
      </c>
      <c r="B459" t="s">
        <v>88</v>
      </c>
      <c r="C459" s="4">
        <v>0.11</v>
      </c>
    </row>
    <row r="460" spans="1:3" x14ac:dyDescent="0.25">
      <c r="A460" t="s">
        <v>199</v>
      </c>
      <c r="B460" t="s">
        <v>90</v>
      </c>
      <c r="C460" s="4">
        <v>0.11</v>
      </c>
    </row>
    <row r="461" spans="1:3" x14ac:dyDescent="0.25">
      <c r="A461" t="s">
        <v>199</v>
      </c>
      <c r="B461" t="s">
        <v>92</v>
      </c>
      <c r="C461" s="4">
        <v>0.11</v>
      </c>
    </row>
    <row r="462" spans="1:3" x14ac:dyDescent="0.25">
      <c r="A462" t="s">
        <v>199</v>
      </c>
      <c r="B462" t="s">
        <v>94</v>
      </c>
      <c r="C462" s="4">
        <v>0.11</v>
      </c>
    </row>
    <row r="463" spans="1:3" x14ac:dyDescent="0.25">
      <c r="A463" t="s">
        <v>199</v>
      </c>
      <c r="B463" t="s">
        <v>96</v>
      </c>
      <c r="C463" s="4">
        <v>0.11</v>
      </c>
    </row>
    <row r="464" spans="1:3" x14ac:dyDescent="0.25">
      <c r="A464" t="s">
        <v>199</v>
      </c>
      <c r="B464" t="s">
        <v>98</v>
      </c>
      <c r="C464" s="4">
        <v>0.11</v>
      </c>
    </row>
    <row r="465" spans="1:3" x14ac:dyDescent="0.25">
      <c r="A465" t="s">
        <v>199</v>
      </c>
      <c r="B465" t="s">
        <v>100</v>
      </c>
      <c r="C465" s="4">
        <v>0.11</v>
      </c>
    </row>
    <row r="466" spans="1:3" x14ac:dyDescent="0.25">
      <c r="A466" t="s">
        <v>199</v>
      </c>
      <c r="B466" t="s">
        <v>102</v>
      </c>
      <c r="C466" s="4">
        <v>0.11</v>
      </c>
    </row>
    <row r="467" spans="1:3" x14ac:dyDescent="0.25">
      <c r="A467" t="s">
        <v>199</v>
      </c>
      <c r="B467" t="s">
        <v>104</v>
      </c>
      <c r="C467" s="4">
        <v>0.11</v>
      </c>
    </row>
    <row r="468" spans="1:3" x14ac:dyDescent="0.25">
      <c r="A468" t="s">
        <v>199</v>
      </c>
      <c r="B468" t="s">
        <v>106</v>
      </c>
      <c r="C468" s="4">
        <v>0.11</v>
      </c>
    </row>
    <row r="469" spans="1:3" x14ac:dyDescent="0.25">
      <c r="A469" t="s">
        <v>199</v>
      </c>
      <c r="B469" t="s">
        <v>108</v>
      </c>
      <c r="C469" s="4">
        <v>0.11</v>
      </c>
    </row>
    <row r="470" spans="1:3" x14ac:dyDescent="0.25">
      <c r="A470" t="s">
        <v>199</v>
      </c>
      <c r="B470" t="s">
        <v>110</v>
      </c>
      <c r="C470" s="4">
        <v>0.11</v>
      </c>
    </row>
    <row r="471" spans="1:3" x14ac:dyDescent="0.25">
      <c r="A471" t="s">
        <v>199</v>
      </c>
      <c r="B471" t="s">
        <v>112</v>
      </c>
      <c r="C471" s="4">
        <v>0.11</v>
      </c>
    </row>
    <row r="472" spans="1:3" x14ac:dyDescent="0.25">
      <c r="A472" t="s">
        <v>199</v>
      </c>
      <c r="B472" t="s">
        <v>114</v>
      </c>
      <c r="C472" s="4">
        <v>0.11</v>
      </c>
    </row>
    <row r="473" spans="1:3" x14ac:dyDescent="0.25">
      <c r="A473" t="s">
        <v>199</v>
      </c>
      <c r="B473" t="s">
        <v>116</v>
      </c>
      <c r="C473" s="4">
        <v>0.11</v>
      </c>
    </row>
    <row r="474" spans="1:3" x14ac:dyDescent="0.25">
      <c r="A474" t="s">
        <v>193</v>
      </c>
      <c r="B474" t="s">
        <v>0</v>
      </c>
      <c r="C474" s="4">
        <v>0.05</v>
      </c>
    </row>
    <row r="475" spans="1:3" x14ac:dyDescent="0.25">
      <c r="A475" t="s">
        <v>193</v>
      </c>
      <c r="B475" t="s">
        <v>2</v>
      </c>
      <c r="C475" s="4">
        <v>0.05</v>
      </c>
    </row>
    <row r="476" spans="1:3" x14ac:dyDescent="0.25">
      <c r="A476" t="s">
        <v>193</v>
      </c>
      <c r="B476" t="s">
        <v>4</v>
      </c>
      <c r="C476" s="4">
        <v>0.05</v>
      </c>
    </row>
    <row r="477" spans="1:3" x14ac:dyDescent="0.25">
      <c r="A477" t="s">
        <v>193</v>
      </c>
      <c r="B477" t="s">
        <v>6</v>
      </c>
      <c r="C477" s="4">
        <v>0.05</v>
      </c>
    </row>
    <row r="478" spans="1:3" x14ac:dyDescent="0.25">
      <c r="A478" t="s">
        <v>193</v>
      </c>
      <c r="B478" t="s">
        <v>8</v>
      </c>
      <c r="C478" s="4">
        <v>0.18</v>
      </c>
    </row>
    <row r="479" spans="1:3" x14ac:dyDescent="0.25">
      <c r="A479" t="s">
        <v>193</v>
      </c>
      <c r="B479" t="s">
        <v>10</v>
      </c>
      <c r="C479" s="4">
        <v>0.18</v>
      </c>
    </row>
    <row r="480" spans="1:3" x14ac:dyDescent="0.25">
      <c r="A480" t="s">
        <v>193</v>
      </c>
      <c r="B480" t="s">
        <v>12</v>
      </c>
      <c r="C480" s="4">
        <v>0.18</v>
      </c>
    </row>
    <row r="481" spans="1:3" x14ac:dyDescent="0.25">
      <c r="A481" t="s">
        <v>193</v>
      </c>
      <c r="B481" t="s">
        <v>14</v>
      </c>
      <c r="C481" s="4">
        <v>0.18</v>
      </c>
    </row>
    <row r="482" spans="1:3" x14ac:dyDescent="0.25">
      <c r="A482" t="s">
        <v>193</v>
      </c>
      <c r="B482" t="s">
        <v>16</v>
      </c>
      <c r="C482" s="4">
        <v>0.05</v>
      </c>
    </row>
    <row r="483" spans="1:3" x14ac:dyDescent="0.25">
      <c r="A483" t="s">
        <v>193</v>
      </c>
      <c r="B483" t="s">
        <v>18</v>
      </c>
      <c r="C483" s="4">
        <v>0.18</v>
      </c>
    </row>
    <row r="484" spans="1:3" x14ac:dyDescent="0.25">
      <c r="A484" t="s">
        <v>193</v>
      </c>
      <c r="B484" t="s">
        <v>20</v>
      </c>
      <c r="C484" s="4">
        <v>0.18</v>
      </c>
    </row>
    <row r="485" spans="1:3" x14ac:dyDescent="0.25">
      <c r="A485" t="s">
        <v>193</v>
      </c>
      <c r="B485" t="s">
        <v>22</v>
      </c>
      <c r="C485" s="4">
        <v>0.18</v>
      </c>
    </row>
    <row r="486" spans="1:3" x14ac:dyDescent="0.25">
      <c r="A486" t="s">
        <v>193</v>
      </c>
      <c r="B486" t="s">
        <v>24</v>
      </c>
      <c r="C486" s="4">
        <v>0.18</v>
      </c>
    </row>
    <row r="487" spans="1:3" x14ac:dyDescent="0.25">
      <c r="A487" t="s">
        <v>193</v>
      </c>
      <c r="B487" t="s">
        <v>26</v>
      </c>
      <c r="C487" s="4">
        <v>0.18</v>
      </c>
    </row>
    <row r="488" spans="1:3" x14ac:dyDescent="0.25">
      <c r="A488" t="s">
        <v>193</v>
      </c>
      <c r="B488" t="s">
        <v>28</v>
      </c>
      <c r="C488" s="4">
        <v>0.18</v>
      </c>
    </row>
    <row r="489" spans="1:3" x14ac:dyDescent="0.25">
      <c r="A489" t="s">
        <v>193</v>
      </c>
      <c r="B489" t="s">
        <v>30</v>
      </c>
      <c r="C489" s="4">
        <v>0.18</v>
      </c>
    </row>
    <row r="490" spans="1:3" x14ac:dyDescent="0.25">
      <c r="A490" t="s">
        <v>193</v>
      </c>
      <c r="B490" t="s">
        <v>32</v>
      </c>
      <c r="C490" s="4">
        <v>0.18</v>
      </c>
    </row>
    <row r="491" spans="1:3" x14ac:dyDescent="0.25">
      <c r="A491" t="s">
        <v>193</v>
      </c>
      <c r="B491" t="s">
        <v>34</v>
      </c>
      <c r="C491" s="4">
        <v>0.18</v>
      </c>
    </row>
    <row r="492" spans="1:3" x14ac:dyDescent="0.25">
      <c r="A492" t="s">
        <v>193</v>
      </c>
      <c r="B492" t="s">
        <v>36</v>
      </c>
      <c r="C492" s="4">
        <v>0.18</v>
      </c>
    </row>
    <row r="493" spans="1:3" x14ac:dyDescent="0.25">
      <c r="A493" t="s">
        <v>193</v>
      </c>
      <c r="B493" t="s">
        <v>38</v>
      </c>
      <c r="C493" s="4">
        <v>0.18</v>
      </c>
    </row>
    <row r="494" spans="1:3" x14ac:dyDescent="0.25">
      <c r="A494" t="s">
        <v>193</v>
      </c>
      <c r="B494" t="s">
        <v>40</v>
      </c>
      <c r="C494" s="4">
        <v>0.18</v>
      </c>
    </row>
    <row r="495" spans="1:3" x14ac:dyDescent="0.25">
      <c r="A495" t="s">
        <v>193</v>
      </c>
      <c r="B495" t="s">
        <v>42</v>
      </c>
      <c r="C495" s="4">
        <v>0.18</v>
      </c>
    </row>
    <row r="496" spans="1:3" x14ac:dyDescent="0.25">
      <c r="A496" t="s">
        <v>193</v>
      </c>
      <c r="B496" t="s">
        <v>44</v>
      </c>
      <c r="C496" s="4">
        <v>0.18</v>
      </c>
    </row>
    <row r="497" spans="1:3" x14ac:dyDescent="0.25">
      <c r="A497" t="s">
        <v>193</v>
      </c>
      <c r="B497" t="s">
        <v>46</v>
      </c>
      <c r="C497" s="4">
        <v>0.18</v>
      </c>
    </row>
    <row r="498" spans="1:3" x14ac:dyDescent="0.25">
      <c r="A498" t="s">
        <v>193</v>
      </c>
      <c r="B498" t="s">
        <v>48</v>
      </c>
      <c r="C498" s="4">
        <v>0.18</v>
      </c>
    </row>
    <row r="499" spans="1:3" x14ac:dyDescent="0.25">
      <c r="A499" t="s">
        <v>193</v>
      </c>
      <c r="B499" t="s">
        <v>50</v>
      </c>
      <c r="C499" s="4">
        <v>0.18</v>
      </c>
    </row>
    <row r="500" spans="1:3" x14ac:dyDescent="0.25">
      <c r="A500" t="s">
        <v>193</v>
      </c>
      <c r="B500" t="s">
        <v>52</v>
      </c>
      <c r="C500" s="4">
        <v>0.18</v>
      </c>
    </row>
    <row r="501" spans="1:3" x14ac:dyDescent="0.25">
      <c r="A501" t="s">
        <v>193</v>
      </c>
      <c r="B501" t="s">
        <v>54</v>
      </c>
      <c r="C501" s="4">
        <v>0.18</v>
      </c>
    </row>
    <row r="502" spans="1:3" x14ac:dyDescent="0.25">
      <c r="A502" t="s">
        <v>193</v>
      </c>
      <c r="B502" t="s">
        <v>56</v>
      </c>
      <c r="C502" s="4">
        <v>0.18</v>
      </c>
    </row>
    <row r="503" spans="1:3" x14ac:dyDescent="0.25">
      <c r="A503" t="s">
        <v>193</v>
      </c>
      <c r="B503" t="s">
        <v>58</v>
      </c>
      <c r="C503" s="4">
        <v>0.18</v>
      </c>
    </row>
    <row r="504" spans="1:3" x14ac:dyDescent="0.25">
      <c r="A504" t="s">
        <v>193</v>
      </c>
      <c r="B504" t="s">
        <v>60</v>
      </c>
      <c r="C504" s="4">
        <v>0.18</v>
      </c>
    </row>
    <row r="505" spans="1:3" x14ac:dyDescent="0.25">
      <c r="A505" t="s">
        <v>193</v>
      </c>
      <c r="B505" t="s">
        <v>62</v>
      </c>
      <c r="C505" s="4">
        <v>0.18</v>
      </c>
    </row>
    <row r="506" spans="1:3" x14ac:dyDescent="0.25">
      <c r="A506" t="s">
        <v>193</v>
      </c>
      <c r="B506" t="s">
        <v>64</v>
      </c>
      <c r="C506" s="4">
        <v>0.18</v>
      </c>
    </row>
    <row r="507" spans="1:3" x14ac:dyDescent="0.25">
      <c r="A507" t="s">
        <v>193</v>
      </c>
      <c r="B507" t="s">
        <v>66</v>
      </c>
      <c r="C507" s="4">
        <v>0.18</v>
      </c>
    </row>
    <row r="508" spans="1:3" x14ac:dyDescent="0.25">
      <c r="A508" t="s">
        <v>193</v>
      </c>
      <c r="B508" t="s">
        <v>68</v>
      </c>
      <c r="C508" s="4">
        <v>0.18</v>
      </c>
    </row>
    <row r="509" spans="1:3" x14ac:dyDescent="0.25">
      <c r="A509" t="s">
        <v>193</v>
      </c>
      <c r="B509" t="s">
        <v>70</v>
      </c>
      <c r="C509" s="4">
        <v>0.18</v>
      </c>
    </row>
    <row r="510" spans="1:3" x14ac:dyDescent="0.25">
      <c r="A510" t="s">
        <v>193</v>
      </c>
      <c r="B510" t="s">
        <v>72</v>
      </c>
      <c r="C510" s="4">
        <v>0.18</v>
      </c>
    </row>
    <row r="511" spans="1:3" x14ac:dyDescent="0.25">
      <c r="A511" t="s">
        <v>193</v>
      </c>
      <c r="B511" t="s">
        <v>74</v>
      </c>
      <c r="C511" s="4">
        <v>0.18</v>
      </c>
    </row>
    <row r="512" spans="1:3" x14ac:dyDescent="0.25">
      <c r="A512" t="s">
        <v>193</v>
      </c>
      <c r="B512" t="s">
        <v>76</v>
      </c>
      <c r="C512" s="4">
        <v>0.18</v>
      </c>
    </row>
    <row r="513" spans="1:3" x14ac:dyDescent="0.25">
      <c r="A513" t="s">
        <v>193</v>
      </c>
      <c r="B513" t="s">
        <v>78</v>
      </c>
      <c r="C513" s="4">
        <v>0.18</v>
      </c>
    </row>
    <row r="514" spans="1:3" x14ac:dyDescent="0.25">
      <c r="A514" t="s">
        <v>193</v>
      </c>
      <c r="B514" t="s">
        <v>80</v>
      </c>
      <c r="C514" s="4">
        <v>0.18</v>
      </c>
    </row>
    <row r="515" spans="1:3" x14ac:dyDescent="0.25">
      <c r="A515" t="s">
        <v>193</v>
      </c>
      <c r="B515" t="s">
        <v>82</v>
      </c>
      <c r="C515" s="4">
        <v>0.18</v>
      </c>
    </row>
    <row r="516" spans="1:3" x14ac:dyDescent="0.25">
      <c r="A516" t="s">
        <v>193</v>
      </c>
      <c r="B516" t="s">
        <v>84</v>
      </c>
      <c r="C516" s="4">
        <v>0.18</v>
      </c>
    </row>
    <row r="517" spans="1:3" x14ac:dyDescent="0.25">
      <c r="A517" t="s">
        <v>193</v>
      </c>
      <c r="B517" t="s">
        <v>86</v>
      </c>
      <c r="C517" s="4">
        <v>0.18</v>
      </c>
    </row>
    <row r="518" spans="1:3" x14ac:dyDescent="0.25">
      <c r="A518" t="s">
        <v>193</v>
      </c>
      <c r="B518" t="s">
        <v>88</v>
      </c>
      <c r="C518" s="4">
        <v>0.18</v>
      </c>
    </row>
    <row r="519" spans="1:3" x14ac:dyDescent="0.25">
      <c r="A519" t="s">
        <v>193</v>
      </c>
      <c r="B519" t="s">
        <v>90</v>
      </c>
      <c r="C519" s="4">
        <v>0.18</v>
      </c>
    </row>
    <row r="520" spans="1:3" x14ac:dyDescent="0.25">
      <c r="A520" t="s">
        <v>193</v>
      </c>
      <c r="B520" t="s">
        <v>92</v>
      </c>
      <c r="C520" s="4">
        <v>0.18</v>
      </c>
    </row>
    <row r="521" spans="1:3" x14ac:dyDescent="0.25">
      <c r="A521" t="s">
        <v>193</v>
      </c>
      <c r="B521" t="s">
        <v>94</v>
      </c>
      <c r="C521" s="4">
        <v>0.18</v>
      </c>
    </row>
    <row r="522" spans="1:3" x14ac:dyDescent="0.25">
      <c r="A522" t="s">
        <v>193</v>
      </c>
      <c r="B522" t="s">
        <v>96</v>
      </c>
      <c r="C522" s="4">
        <v>0.18</v>
      </c>
    </row>
    <row r="523" spans="1:3" x14ac:dyDescent="0.25">
      <c r="A523" t="s">
        <v>193</v>
      </c>
      <c r="B523" t="s">
        <v>98</v>
      </c>
      <c r="C523" s="4">
        <v>0.18</v>
      </c>
    </row>
    <row r="524" spans="1:3" x14ac:dyDescent="0.25">
      <c r="A524" t="s">
        <v>193</v>
      </c>
      <c r="B524" t="s">
        <v>100</v>
      </c>
      <c r="C524" s="4">
        <v>0.18</v>
      </c>
    </row>
    <row r="525" spans="1:3" x14ac:dyDescent="0.25">
      <c r="A525" t="s">
        <v>193</v>
      </c>
      <c r="B525" t="s">
        <v>102</v>
      </c>
      <c r="C525" s="4">
        <v>0.18</v>
      </c>
    </row>
    <row r="526" spans="1:3" x14ac:dyDescent="0.25">
      <c r="A526" t="s">
        <v>193</v>
      </c>
      <c r="B526" t="s">
        <v>104</v>
      </c>
      <c r="C526" s="4">
        <v>0.18</v>
      </c>
    </row>
    <row r="527" spans="1:3" x14ac:dyDescent="0.25">
      <c r="A527" t="s">
        <v>193</v>
      </c>
      <c r="B527" t="s">
        <v>106</v>
      </c>
      <c r="C527" s="4">
        <v>0.18</v>
      </c>
    </row>
    <row r="528" spans="1:3" x14ac:dyDescent="0.25">
      <c r="A528" t="s">
        <v>193</v>
      </c>
      <c r="B528" t="s">
        <v>108</v>
      </c>
      <c r="C528" s="4">
        <v>0.18</v>
      </c>
    </row>
    <row r="529" spans="1:3" x14ac:dyDescent="0.25">
      <c r="A529" t="s">
        <v>193</v>
      </c>
      <c r="B529" t="s">
        <v>110</v>
      </c>
      <c r="C529" s="4">
        <v>0.18</v>
      </c>
    </row>
    <row r="530" spans="1:3" x14ac:dyDescent="0.25">
      <c r="A530" t="s">
        <v>193</v>
      </c>
      <c r="B530" t="s">
        <v>112</v>
      </c>
      <c r="C530" s="4">
        <v>0.18</v>
      </c>
    </row>
    <row r="531" spans="1:3" x14ac:dyDescent="0.25">
      <c r="A531" t="s">
        <v>193</v>
      </c>
      <c r="B531" t="s">
        <v>114</v>
      </c>
      <c r="C531" s="4">
        <v>0.18</v>
      </c>
    </row>
    <row r="532" spans="1:3" x14ac:dyDescent="0.25">
      <c r="A532" t="s">
        <v>193</v>
      </c>
      <c r="B532" t="s">
        <v>116</v>
      </c>
      <c r="C532" s="4">
        <v>0.18</v>
      </c>
    </row>
    <row r="533" spans="1:3" x14ac:dyDescent="0.25">
      <c r="A533" t="s">
        <v>161</v>
      </c>
      <c r="B533" t="s">
        <v>0</v>
      </c>
      <c r="C533" s="4">
        <v>0.1</v>
      </c>
    </row>
    <row r="534" spans="1:3" x14ac:dyDescent="0.25">
      <c r="A534" t="s">
        <v>161</v>
      </c>
      <c r="B534" t="s">
        <v>2</v>
      </c>
      <c r="C534" s="4">
        <v>0.1</v>
      </c>
    </row>
    <row r="535" spans="1:3" x14ac:dyDescent="0.25">
      <c r="A535" t="s">
        <v>161</v>
      </c>
      <c r="B535" t="s">
        <v>4</v>
      </c>
      <c r="C535" s="4">
        <v>0.1</v>
      </c>
    </row>
    <row r="536" spans="1:3" x14ac:dyDescent="0.25">
      <c r="A536" t="s">
        <v>161</v>
      </c>
      <c r="B536" t="s">
        <v>6</v>
      </c>
      <c r="C536" s="4">
        <v>0.1</v>
      </c>
    </row>
    <row r="537" spans="1:3" x14ac:dyDescent="0.25">
      <c r="A537" t="s">
        <v>161</v>
      </c>
      <c r="B537" t="s">
        <v>8</v>
      </c>
      <c r="C537" s="4">
        <v>0.22</v>
      </c>
    </row>
    <row r="538" spans="1:3" x14ac:dyDescent="0.25">
      <c r="A538" t="s">
        <v>161</v>
      </c>
      <c r="B538" t="s">
        <v>10</v>
      </c>
      <c r="C538" s="4">
        <v>0.22</v>
      </c>
    </row>
    <row r="539" spans="1:3" x14ac:dyDescent="0.25">
      <c r="A539" t="s">
        <v>161</v>
      </c>
      <c r="B539" t="s">
        <v>12</v>
      </c>
      <c r="C539" s="4">
        <v>0.22</v>
      </c>
    </row>
    <row r="540" spans="1:3" x14ac:dyDescent="0.25">
      <c r="A540" t="s">
        <v>161</v>
      </c>
      <c r="B540" t="s">
        <v>14</v>
      </c>
      <c r="C540" s="4">
        <v>0.22</v>
      </c>
    </row>
    <row r="541" spans="1:3" x14ac:dyDescent="0.25">
      <c r="A541" t="s">
        <v>161</v>
      </c>
      <c r="B541" t="s">
        <v>16</v>
      </c>
      <c r="C541" s="4">
        <v>0.1</v>
      </c>
    </row>
    <row r="542" spans="1:3" x14ac:dyDescent="0.25">
      <c r="A542" t="s">
        <v>161</v>
      </c>
      <c r="B542" t="s">
        <v>18</v>
      </c>
      <c r="C542" s="4">
        <v>0.22</v>
      </c>
    </row>
    <row r="543" spans="1:3" x14ac:dyDescent="0.25">
      <c r="A543" t="s">
        <v>161</v>
      </c>
      <c r="B543" t="s">
        <v>20</v>
      </c>
      <c r="C543" s="4">
        <v>0.22</v>
      </c>
    </row>
    <row r="544" spans="1:3" x14ac:dyDescent="0.25">
      <c r="A544" t="s">
        <v>161</v>
      </c>
      <c r="B544" t="s">
        <v>22</v>
      </c>
      <c r="C544" s="4">
        <v>0.22</v>
      </c>
    </row>
    <row r="545" spans="1:3" x14ac:dyDescent="0.25">
      <c r="A545" t="s">
        <v>161</v>
      </c>
      <c r="B545" t="s">
        <v>24</v>
      </c>
      <c r="C545" s="4">
        <v>0.22</v>
      </c>
    </row>
    <row r="546" spans="1:3" x14ac:dyDescent="0.25">
      <c r="A546" t="s">
        <v>161</v>
      </c>
      <c r="B546" t="s">
        <v>26</v>
      </c>
      <c r="C546" s="4">
        <v>0.22</v>
      </c>
    </row>
    <row r="547" spans="1:3" x14ac:dyDescent="0.25">
      <c r="A547" t="s">
        <v>161</v>
      </c>
      <c r="B547" t="s">
        <v>28</v>
      </c>
      <c r="C547" s="4">
        <v>0.22</v>
      </c>
    </row>
    <row r="548" spans="1:3" x14ac:dyDescent="0.25">
      <c r="A548" t="s">
        <v>161</v>
      </c>
      <c r="B548" t="s">
        <v>30</v>
      </c>
      <c r="C548" s="4">
        <v>0.22</v>
      </c>
    </row>
    <row r="549" spans="1:3" x14ac:dyDescent="0.25">
      <c r="A549" t="s">
        <v>161</v>
      </c>
      <c r="B549" t="s">
        <v>32</v>
      </c>
      <c r="C549" s="4">
        <v>0.22</v>
      </c>
    </row>
    <row r="550" spans="1:3" x14ac:dyDescent="0.25">
      <c r="A550" t="s">
        <v>161</v>
      </c>
      <c r="B550" t="s">
        <v>34</v>
      </c>
      <c r="C550" s="4">
        <v>0.22</v>
      </c>
    </row>
    <row r="551" spans="1:3" x14ac:dyDescent="0.25">
      <c r="A551" t="s">
        <v>161</v>
      </c>
      <c r="B551" t="s">
        <v>36</v>
      </c>
      <c r="C551" s="4">
        <v>0.22</v>
      </c>
    </row>
    <row r="552" spans="1:3" x14ac:dyDescent="0.25">
      <c r="A552" t="s">
        <v>161</v>
      </c>
      <c r="B552" t="s">
        <v>38</v>
      </c>
      <c r="C552" s="4">
        <v>0.22</v>
      </c>
    </row>
    <row r="553" spans="1:3" x14ac:dyDescent="0.25">
      <c r="A553" t="s">
        <v>161</v>
      </c>
      <c r="B553" t="s">
        <v>40</v>
      </c>
      <c r="C553" s="4">
        <v>0.22</v>
      </c>
    </row>
    <row r="554" spans="1:3" x14ac:dyDescent="0.25">
      <c r="A554" t="s">
        <v>161</v>
      </c>
      <c r="B554" t="s">
        <v>42</v>
      </c>
      <c r="C554" s="4">
        <v>0.22</v>
      </c>
    </row>
    <row r="555" spans="1:3" x14ac:dyDescent="0.25">
      <c r="A555" t="s">
        <v>161</v>
      </c>
      <c r="B555" t="s">
        <v>44</v>
      </c>
      <c r="C555" s="4">
        <v>0.22</v>
      </c>
    </row>
    <row r="556" spans="1:3" x14ac:dyDescent="0.25">
      <c r="A556" t="s">
        <v>161</v>
      </c>
      <c r="B556" t="s">
        <v>46</v>
      </c>
      <c r="C556" s="4">
        <v>0.22</v>
      </c>
    </row>
    <row r="557" spans="1:3" x14ac:dyDescent="0.25">
      <c r="A557" t="s">
        <v>161</v>
      </c>
      <c r="B557" t="s">
        <v>48</v>
      </c>
      <c r="C557" s="4">
        <v>0.22</v>
      </c>
    </row>
    <row r="558" spans="1:3" x14ac:dyDescent="0.25">
      <c r="A558" t="s">
        <v>161</v>
      </c>
      <c r="B558" t="s">
        <v>50</v>
      </c>
      <c r="C558" s="4">
        <v>0.22</v>
      </c>
    </row>
    <row r="559" spans="1:3" x14ac:dyDescent="0.25">
      <c r="A559" t="s">
        <v>161</v>
      </c>
      <c r="B559" t="s">
        <v>52</v>
      </c>
      <c r="C559" s="4">
        <v>0.22</v>
      </c>
    </row>
    <row r="560" spans="1:3" x14ac:dyDescent="0.25">
      <c r="A560" t="s">
        <v>161</v>
      </c>
      <c r="B560" t="s">
        <v>54</v>
      </c>
      <c r="C560" s="4">
        <v>0.22</v>
      </c>
    </row>
    <row r="561" spans="1:3" x14ac:dyDescent="0.25">
      <c r="A561" t="s">
        <v>161</v>
      </c>
      <c r="B561" t="s">
        <v>56</v>
      </c>
      <c r="C561" s="4">
        <v>0.22</v>
      </c>
    </row>
    <row r="562" spans="1:3" x14ac:dyDescent="0.25">
      <c r="A562" t="s">
        <v>161</v>
      </c>
      <c r="B562" t="s">
        <v>58</v>
      </c>
      <c r="C562" s="4">
        <v>0.22</v>
      </c>
    </row>
    <row r="563" spans="1:3" x14ac:dyDescent="0.25">
      <c r="A563" t="s">
        <v>161</v>
      </c>
      <c r="B563" t="s">
        <v>60</v>
      </c>
      <c r="C563" s="4">
        <v>0.22</v>
      </c>
    </row>
    <row r="564" spans="1:3" x14ac:dyDescent="0.25">
      <c r="A564" t="s">
        <v>161</v>
      </c>
      <c r="B564" t="s">
        <v>62</v>
      </c>
      <c r="C564" s="4">
        <v>0.22</v>
      </c>
    </row>
    <row r="565" spans="1:3" x14ac:dyDescent="0.25">
      <c r="A565" t="s">
        <v>161</v>
      </c>
      <c r="B565" t="s">
        <v>64</v>
      </c>
      <c r="C565" s="4">
        <v>0.22</v>
      </c>
    </row>
    <row r="566" spans="1:3" x14ac:dyDescent="0.25">
      <c r="A566" t="s">
        <v>161</v>
      </c>
      <c r="B566" t="s">
        <v>66</v>
      </c>
      <c r="C566" s="4">
        <v>0.22</v>
      </c>
    </row>
    <row r="567" spans="1:3" x14ac:dyDescent="0.25">
      <c r="A567" t="s">
        <v>161</v>
      </c>
      <c r="B567" t="s">
        <v>68</v>
      </c>
      <c r="C567" s="4">
        <v>0.1</v>
      </c>
    </row>
    <row r="568" spans="1:3" x14ac:dyDescent="0.25">
      <c r="A568" t="s">
        <v>161</v>
      </c>
      <c r="B568" t="s">
        <v>70</v>
      </c>
      <c r="C568" s="4">
        <v>0.1</v>
      </c>
    </row>
    <row r="569" spans="1:3" x14ac:dyDescent="0.25">
      <c r="A569" t="s">
        <v>161</v>
      </c>
      <c r="B569" t="s">
        <v>72</v>
      </c>
      <c r="C569" s="4">
        <v>0.1</v>
      </c>
    </row>
    <row r="570" spans="1:3" x14ac:dyDescent="0.25">
      <c r="A570" t="s">
        <v>161</v>
      </c>
      <c r="B570" t="s">
        <v>74</v>
      </c>
      <c r="C570" s="4">
        <v>0.22</v>
      </c>
    </row>
    <row r="571" spans="1:3" x14ac:dyDescent="0.25">
      <c r="A571" t="s">
        <v>161</v>
      </c>
      <c r="B571" t="s">
        <v>76</v>
      </c>
      <c r="C571" s="4">
        <v>0.22</v>
      </c>
    </row>
    <row r="572" spans="1:3" x14ac:dyDescent="0.25">
      <c r="A572" t="s">
        <v>161</v>
      </c>
      <c r="B572" t="s">
        <v>78</v>
      </c>
      <c r="C572" s="4">
        <v>0.1</v>
      </c>
    </row>
    <row r="573" spans="1:3" x14ac:dyDescent="0.25">
      <c r="A573" t="s">
        <v>161</v>
      </c>
      <c r="B573" t="s">
        <v>80</v>
      </c>
      <c r="C573" s="4">
        <v>0.04</v>
      </c>
    </row>
    <row r="574" spans="1:3" x14ac:dyDescent="0.25">
      <c r="A574" t="s">
        <v>161</v>
      </c>
      <c r="B574" t="s">
        <v>82</v>
      </c>
      <c r="C574" s="4">
        <v>0.22</v>
      </c>
    </row>
    <row r="575" spans="1:3" x14ac:dyDescent="0.25">
      <c r="A575" t="s">
        <v>161</v>
      </c>
      <c r="B575" t="s">
        <v>84</v>
      </c>
      <c r="C575" s="4">
        <v>0.1</v>
      </c>
    </row>
    <row r="576" spans="1:3" x14ac:dyDescent="0.25">
      <c r="A576" t="s">
        <v>161</v>
      </c>
      <c r="B576" t="s">
        <v>86</v>
      </c>
      <c r="C576" s="4">
        <v>0.1</v>
      </c>
    </row>
    <row r="577" spans="1:3" x14ac:dyDescent="0.25">
      <c r="A577" t="s">
        <v>161</v>
      </c>
      <c r="B577" t="s">
        <v>88</v>
      </c>
      <c r="C577" s="4">
        <v>0.22</v>
      </c>
    </row>
    <row r="578" spans="1:3" x14ac:dyDescent="0.25">
      <c r="A578" t="s">
        <v>161</v>
      </c>
      <c r="B578" t="s">
        <v>90</v>
      </c>
      <c r="C578" s="4">
        <v>0.22</v>
      </c>
    </row>
    <row r="579" spans="1:3" x14ac:dyDescent="0.25">
      <c r="A579" t="s">
        <v>161</v>
      </c>
      <c r="B579" t="s">
        <v>92</v>
      </c>
      <c r="C579" s="4">
        <v>0.22</v>
      </c>
    </row>
    <row r="580" spans="1:3" x14ac:dyDescent="0.25">
      <c r="A580" t="s">
        <v>161</v>
      </c>
      <c r="B580" t="s">
        <v>94</v>
      </c>
      <c r="C580" s="4">
        <v>0.22</v>
      </c>
    </row>
    <row r="581" spans="1:3" x14ac:dyDescent="0.25">
      <c r="A581" t="s">
        <v>161</v>
      </c>
      <c r="B581" t="s">
        <v>96</v>
      </c>
      <c r="C581" s="4">
        <v>0.22</v>
      </c>
    </row>
    <row r="582" spans="1:3" x14ac:dyDescent="0.25">
      <c r="A582" t="s">
        <v>161</v>
      </c>
      <c r="B582" t="s">
        <v>98</v>
      </c>
      <c r="C582" s="4">
        <v>0.22</v>
      </c>
    </row>
    <row r="583" spans="1:3" x14ac:dyDescent="0.25">
      <c r="A583" t="s">
        <v>161</v>
      </c>
      <c r="B583" t="s">
        <v>100</v>
      </c>
      <c r="C583" s="4">
        <v>0.22</v>
      </c>
    </row>
    <row r="584" spans="1:3" x14ac:dyDescent="0.25">
      <c r="A584" t="s">
        <v>161</v>
      </c>
      <c r="B584" t="s">
        <v>102</v>
      </c>
      <c r="C584" s="4">
        <v>0.22</v>
      </c>
    </row>
    <row r="585" spans="1:3" x14ac:dyDescent="0.25">
      <c r="A585" t="s">
        <v>161</v>
      </c>
      <c r="B585" t="s">
        <v>104</v>
      </c>
      <c r="C585" s="4">
        <v>0.22</v>
      </c>
    </row>
    <row r="586" spans="1:3" x14ac:dyDescent="0.25">
      <c r="A586" t="s">
        <v>161</v>
      </c>
      <c r="B586" t="s">
        <v>106</v>
      </c>
      <c r="C586" s="4">
        <v>0.22</v>
      </c>
    </row>
    <row r="587" spans="1:3" x14ac:dyDescent="0.25">
      <c r="A587" t="s">
        <v>161</v>
      </c>
      <c r="B587" t="s">
        <v>108</v>
      </c>
      <c r="C587" s="4">
        <v>0.22</v>
      </c>
    </row>
    <row r="588" spans="1:3" x14ac:dyDescent="0.25">
      <c r="A588" t="s">
        <v>161</v>
      </c>
      <c r="B588" t="s">
        <v>110</v>
      </c>
      <c r="C588" s="4">
        <v>0.22</v>
      </c>
    </row>
    <row r="589" spans="1:3" x14ac:dyDescent="0.25">
      <c r="A589" t="s">
        <v>161</v>
      </c>
      <c r="B589" t="s">
        <v>112</v>
      </c>
      <c r="C589" s="4">
        <v>0.22</v>
      </c>
    </row>
    <row r="590" spans="1:3" x14ac:dyDescent="0.25">
      <c r="A590" t="s">
        <v>161</v>
      </c>
      <c r="B590" t="s">
        <v>114</v>
      </c>
      <c r="C590" s="4">
        <v>0.22</v>
      </c>
    </row>
    <row r="591" spans="1:3" x14ac:dyDescent="0.25">
      <c r="A591" t="s">
        <v>161</v>
      </c>
      <c r="B591" t="s">
        <v>116</v>
      </c>
      <c r="C591" s="4">
        <v>0.22</v>
      </c>
    </row>
    <row r="592" spans="1:3" x14ac:dyDescent="0.25">
      <c r="A592" t="s">
        <v>188</v>
      </c>
      <c r="B592" t="s">
        <v>0</v>
      </c>
      <c r="C592" s="4">
        <v>0.08</v>
      </c>
    </row>
    <row r="593" spans="1:3" x14ac:dyDescent="0.25">
      <c r="A593" t="s">
        <v>188</v>
      </c>
      <c r="B593" t="s">
        <v>2</v>
      </c>
      <c r="C593" s="4">
        <v>0.08</v>
      </c>
    </row>
    <row r="594" spans="1:3" x14ac:dyDescent="0.25">
      <c r="A594" t="s">
        <v>188</v>
      </c>
      <c r="B594" t="s">
        <v>4</v>
      </c>
      <c r="C594" s="4">
        <v>0.08</v>
      </c>
    </row>
    <row r="595" spans="1:3" x14ac:dyDescent="0.25">
      <c r="A595" t="s">
        <v>188</v>
      </c>
      <c r="B595" t="s">
        <v>6</v>
      </c>
      <c r="C595" s="4">
        <v>0.08</v>
      </c>
    </row>
    <row r="596" spans="1:3" x14ac:dyDescent="0.25">
      <c r="A596" t="s">
        <v>188</v>
      </c>
      <c r="B596" t="s">
        <v>8</v>
      </c>
      <c r="C596" s="4">
        <v>0.1</v>
      </c>
    </row>
    <row r="597" spans="1:3" x14ac:dyDescent="0.25">
      <c r="A597" t="s">
        <v>188</v>
      </c>
      <c r="B597" t="s">
        <v>10</v>
      </c>
      <c r="C597" s="4">
        <v>0.1</v>
      </c>
    </row>
    <row r="598" spans="1:3" x14ac:dyDescent="0.25">
      <c r="A598" t="s">
        <v>188</v>
      </c>
      <c r="B598" t="s">
        <v>12</v>
      </c>
      <c r="C598" s="4">
        <v>0.1</v>
      </c>
    </row>
    <row r="599" spans="1:3" x14ac:dyDescent="0.25">
      <c r="A599" t="s">
        <v>188</v>
      </c>
      <c r="B599" t="s">
        <v>14</v>
      </c>
      <c r="C599" s="4">
        <v>0.1</v>
      </c>
    </row>
    <row r="600" spans="1:3" x14ac:dyDescent="0.25">
      <c r="A600" t="s">
        <v>188</v>
      </c>
      <c r="B600" t="s">
        <v>16</v>
      </c>
      <c r="C600" s="4">
        <v>0.08</v>
      </c>
    </row>
    <row r="601" spans="1:3" x14ac:dyDescent="0.25">
      <c r="A601" t="s">
        <v>188</v>
      </c>
      <c r="B601" t="s">
        <v>18</v>
      </c>
      <c r="C601" s="4">
        <v>0.1</v>
      </c>
    </row>
    <row r="602" spans="1:3" x14ac:dyDescent="0.25">
      <c r="A602" t="s">
        <v>188</v>
      </c>
      <c r="B602" t="s">
        <v>20</v>
      </c>
      <c r="C602" s="4">
        <v>0.1</v>
      </c>
    </row>
    <row r="603" spans="1:3" x14ac:dyDescent="0.25">
      <c r="A603" t="s">
        <v>188</v>
      </c>
      <c r="B603" t="s">
        <v>22</v>
      </c>
      <c r="C603" s="4">
        <v>0.1</v>
      </c>
    </row>
    <row r="604" spans="1:3" x14ac:dyDescent="0.25">
      <c r="A604" t="s">
        <v>188</v>
      </c>
      <c r="B604" t="s">
        <v>24</v>
      </c>
      <c r="C604" s="4">
        <v>0.1</v>
      </c>
    </row>
    <row r="605" spans="1:3" x14ac:dyDescent="0.25">
      <c r="A605" t="s">
        <v>188</v>
      </c>
      <c r="B605" t="s">
        <v>26</v>
      </c>
      <c r="C605" s="4">
        <v>0.1</v>
      </c>
    </row>
    <row r="606" spans="1:3" x14ac:dyDescent="0.25">
      <c r="A606" t="s">
        <v>188</v>
      </c>
      <c r="B606" t="s">
        <v>28</v>
      </c>
      <c r="C606" s="4">
        <v>0.1</v>
      </c>
    </row>
    <row r="607" spans="1:3" x14ac:dyDescent="0.25">
      <c r="A607" t="s">
        <v>188</v>
      </c>
      <c r="B607" t="s">
        <v>30</v>
      </c>
      <c r="C607" s="4">
        <v>0.1</v>
      </c>
    </row>
    <row r="608" spans="1:3" x14ac:dyDescent="0.25">
      <c r="A608" t="s">
        <v>188</v>
      </c>
      <c r="B608" t="s">
        <v>32</v>
      </c>
      <c r="C608" s="4">
        <v>0.1</v>
      </c>
    </row>
    <row r="609" spans="1:3" x14ac:dyDescent="0.25">
      <c r="A609" t="s">
        <v>188</v>
      </c>
      <c r="B609" t="s">
        <v>34</v>
      </c>
      <c r="C609" s="4">
        <v>0.1</v>
      </c>
    </row>
    <row r="610" spans="1:3" x14ac:dyDescent="0.25">
      <c r="A610" t="s">
        <v>188</v>
      </c>
      <c r="B610" t="s">
        <v>36</v>
      </c>
      <c r="C610" s="4">
        <v>0.1</v>
      </c>
    </row>
    <row r="611" spans="1:3" x14ac:dyDescent="0.25">
      <c r="A611" t="s">
        <v>188</v>
      </c>
      <c r="B611" t="s">
        <v>38</v>
      </c>
      <c r="C611" s="4">
        <v>0.1</v>
      </c>
    </row>
    <row r="612" spans="1:3" x14ac:dyDescent="0.25">
      <c r="A612" t="s">
        <v>188</v>
      </c>
      <c r="B612" t="s">
        <v>40</v>
      </c>
      <c r="C612" s="4">
        <v>0.1</v>
      </c>
    </row>
    <row r="613" spans="1:3" x14ac:dyDescent="0.25">
      <c r="A613" t="s">
        <v>188</v>
      </c>
      <c r="B613" t="s">
        <v>42</v>
      </c>
      <c r="C613" s="4">
        <v>0.1</v>
      </c>
    </row>
    <row r="614" spans="1:3" x14ac:dyDescent="0.25">
      <c r="A614" t="s">
        <v>188</v>
      </c>
      <c r="B614" t="s">
        <v>44</v>
      </c>
      <c r="C614" s="4">
        <v>0.1</v>
      </c>
    </row>
    <row r="615" spans="1:3" x14ac:dyDescent="0.25">
      <c r="A615" t="s">
        <v>188</v>
      </c>
      <c r="B615" t="s">
        <v>46</v>
      </c>
      <c r="C615" s="4">
        <v>0.1</v>
      </c>
    </row>
    <row r="616" spans="1:3" x14ac:dyDescent="0.25">
      <c r="A616" t="s">
        <v>188</v>
      </c>
      <c r="B616" t="s">
        <v>48</v>
      </c>
      <c r="C616" s="4">
        <v>0.1</v>
      </c>
    </row>
    <row r="617" spans="1:3" x14ac:dyDescent="0.25">
      <c r="A617" t="s">
        <v>188</v>
      </c>
      <c r="B617" t="s">
        <v>50</v>
      </c>
      <c r="C617" s="4">
        <v>0.1</v>
      </c>
    </row>
    <row r="618" spans="1:3" x14ac:dyDescent="0.25">
      <c r="A618" t="s">
        <v>188</v>
      </c>
      <c r="B618" t="s">
        <v>52</v>
      </c>
      <c r="C618" s="4">
        <v>0.1</v>
      </c>
    </row>
    <row r="619" spans="1:3" x14ac:dyDescent="0.25">
      <c r="A619" t="s">
        <v>188</v>
      </c>
      <c r="B619" t="s">
        <v>54</v>
      </c>
      <c r="C619" s="4">
        <v>0.1</v>
      </c>
    </row>
    <row r="620" spans="1:3" x14ac:dyDescent="0.25">
      <c r="A620" t="s">
        <v>188</v>
      </c>
      <c r="B620" t="s">
        <v>56</v>
      </c>
      <c r="C620" s="4">
        <v>0.1</v>
      </c>
    </row>
    <row r="621" spans="1:3" x14ac:dyDescent="0.25">
      <c r="A621" t="s">
        <v>188</v>
      </c>
      <c r="B621" t="s">
        <v>58</v>
      </c>
      <c r="C621" s="4">
        <v>0.1</v>
      </c>
    </row>
    <row r="622" spans="1:3" x14ac:dyDescent="0.25">
      <c r="A622" t="s">
        <v>188</v>
      </c>
      <c r="B622" t="s">
        <v>60</v>
      </c>
      <c r="C622" s="4">
        <v>0.1</v>
      </c>
    </row>
    <row r="623" spans="1:3" x14ac:dyDescent="0.25">
      <c r="A623" t="s">
        <v>188</v>
      </c>
      <c r="B623" t="s">
        <v>62</v>
      </c>
      <c r="C623" s="4">
        <v>0.1</v>
      </c>
    </row>
    <row r="624" spans="1:3" x14ac:dyDescent="0.25">
      <c r="A624" t="s">
        <v>188</v>
      </c>
      <c r="B624" t="s">
        <v>64</v>
      </c>
      <c r="C624" s="4">
        <v>0.1</v>
      </c>
    </row>
    <row r="625" spans="1:3" x14ac:dyDescent="0.25">
      <c r="A625" t="s">
        <v>188</v>
      </c>
      <c r="B625" t="s">
        <v>66</v>
      </c>
      <c r="C625" s="4">
        <v>0.1</v>
      </c>
    </row>
    <row r="626" spans="1:3" x14ac:dyDescent="0.25">
      <c r="A626" t="s">
        <v>188</v>
      </c>
      <c r="B626" t="s">
        <v>68</v>
      </c>
      <c r="C626" s="4">
        <v>0.1</v>
      </c>
    </row>
    <row r="627" spans="1:3" x14ac:dyDescent="0.25">
      <c r="A627" t="s">
        <v>188</v>
      </c>
      <c r="B627" t="s">
        <v>70</v>
      </c>
      <c r="C627" s="4">
        <v>0.1</v>
      </c>
    </row>
    <row r="628" spans="1:3" x14ac:dyDescent="0.25">
      <c r="A628" t="s">
        <v>188</v>
      </c>
      <c r="B628" t="s">
        <v>72</v>
      </c>
      <c r="C628" s="4">
        <v>0.1</v>
      </c>
    </row>
    <row r="629" spans="1:3" x14ac:dyDescent="0.25">
      <c r="A629" t="s">
        <v>188</v>
      </c>
      <c r="B629" t="s">
        <v>74</v>
      </c>
      <c r="C629" s="4">
        <v>0.1</v>
      </c>
    </row>
    <row r="630" spans="1:3" x14ac:dyDescent="0.25">
      <c r="A630" t="s">
        <v>188</v>
      </c>
      <c r="B630" t="s">
        <v>76</v>
      </c>
      <c r="C630" s="4">
        <v>0.1</v>
      </c>
    </row>
    <row r="631" spans="1:3" x14ac:dyDescent="0.25">
      <c r="A631" t="s">
        <v>188</v>
      </c>
      <c r="B631" t="s">
        <v>78</v>
      </c>
      <c r="C631" s="4">
        <v>0.1</v>
      </c>
    </row>
    <row r="632" spans="1:3" x14ac:dyDescent="0.25">
      <c r="A632" t="s">
        <v>188</v>
      </c>
      <c r="B632" t="s">
        <v>80</v>
      </c>
      <c r="C632" s="4">
        <v>0.1</v>
      </c>
    </row>
    <row r="633" spans="1:3" x14ac:dyDescent="0.25">
      <c r="A633" t="s">
        <v>188</v>
      </c>
      <c r="B633" t="s">
        <v>82</v>
      </c>
      <c r="C633" s="4">
        <v>0.1</v>
      </c>
    </row>
    <row r="634" spans="1:3" x14ac:dyDescent="0.25">
      <c r="A634" t="s">
        <v>188</v>
      </c>
      <c r="B634" t="s">
        <v>84</v>
      </c>
      <c r="C634" s="4">
        <v>0.1</v>
      </c>
    </row>
    <row r="635" spans="1:3" x14ac:dyDescent="0.25">
      <c r="A635" t="s">
        <v>188</v>
      </c>
      <c r="B635" t="s">
        <v>86</v>
      </c>
      <c r="C635" s="4">
        <v>0.1</v>
      </c>
    </row>
    <row r="636" spans="1:3" x14ac:dyDescent="0.25">
      <c r="A636" t="s">
        <v>188</v>
      </c>
      <c r="B636" t="s">
        <v>88</v>
      </c>
      <c r="C636" s="4">
        <v>0.1</v>
      </c>
    </row>
    <row r="637" spans="1:3" x14ac:dyDescent="0.25">
      <c r="A637" t="s">
        <v>188</v>
      </c>
      <c r="B637" t="s">
        <v>90</v>
      </c>
      <c r="C637" s="4">
        <v>0.1</v>
      </c>
    </row>
    <row r="638" spans="1:3" x14ac:dyDescent="0.25">
      <c r="A638" t="s">
        <v>188</v>
      </c>
      <c r="B638" t="s">
        <v>92</v>
      </c>
      <c r="C638" s="4">
        <v>0.1</v>
      </c>
    </row>
    <row r="639" spans="1:3" x14ac:dyDescent="0.25">
      <c r="A639" t="s">
        <v>188</v>
      </c>
      <c r="B639" t="s">
        <v>94</v>
      </c>
      <c r="C639" s="4">
        <v>0.1</v>
      </c>
    </row>
    <row r="640" spans="1:3" x14ac:dyDescent="0.25">
      <c r="A640" t="s">
        <v>188</v>
      </c>
      <c r="B640" t="s">
        <v>96</v>
      </c>
      <c r="C640" s="4">
        <v>0.1</v>
      </c>
    </row>
    <row r="641" spans="1:3" x14ac:dyDescent="0.25">
      <c r="A641" t="s">
        <v>188</v>
      </c>
      <c r="B641" t="s">
        <v>98</v>
      </c>
      <c r="C641" s="4">
        <v>0.1</v>
      </c>
    </row>
    <row r="642" spans="1:3" x14ac:dyDescent="0.25">
      <c r="A642" t="s">
        <v>188</v>
      </c>
      <c r="B642" t="s">
        <v>100</v>
      </c>
      <c r="C642" s="4">
        <v>0.1</v>
      </c>
    </row>
    <row r="643" spans="1:3" x14ac:dyDescent="0.25">
      <c r="A643" t="s">
        <v>188</v>
      </c>
      <c r="B643" t="s">
        <v>102</v>
      </c>
      <c r="C643" s="4">
        <v>0.1</v>
      </c>
    </row>
    <row r="644" spans="1:3" x14ac:dyDescent="0.25">
      <c r="A644" t="s">
        <v>188</v>
      </c>
      <c r="B644" t="s">
        <v>104</v>
      </c>
      <c r="C644" s="4">
        <v>0.1</v>
      </c>
    </row>
    <row r="645" spans="1:3" x14ac:dyDescent="0.25">
      <c r="A645" t="s">
        <v>188</v>
      </c>
      <c r="B645" t="s">
        <v>106</v>
      </c>
      <c r="C645" s="4">
        <v>0.1</v>
      </c>
    </row>
    <row r="646" spans="1:3" x14ac:dyDescent="0.25">
      <c r="A646" t="s">
        <v>188</v>
      </c>
      <c r="B646" t="s">
        <v>108</v>
      </c>
      <c r="C646" s="4">
        <v>0.1</v>
      </c>
    </row>
    <row r="647" spans="1:3" x14ac:dyDescent="0.25">
      <c r="A647" t="s">
        <v>188</v>
      </c>
      <c r="B647" t="s">
        <v>110</v>
      </c>
      <c r="C647" s="4">
        <v>0.1</v>
      </c>
    </row>
    <row r="648" spans="1:3" x14ac:dyDescent="0.25">
      <c r="A648" t="s">
        <v>188</v>
      </c>
      <c r="B648" t="s">
        <v>112</v>
      </c>
      <c r="C648" s="4">
        <v>0.1</v>
      </c>
    </row>
    <row r="649" spans="1:3" x14ac:dyDescent="0.25">
      <c r="A649" t="s">
        <v>188</v>
      </c>
      <c r="B649" t="s">
        <v>114</v>
      </c>
      <c r="C649" s="4">
        <v>0.1</v>
      </c>
    </row>
    <row r="650" spans="1:3" x14ac:dyDescent="0.25">
      <c r="A650" t="s">
        <v>188</v>
      </c>
      <c r="B650" t="s">
        <v>116</v>
      </c>
      <c r="C650" s="4">
        <v>0.1</v>
      </c>
    </row>
    <row r="651" spans="1:3" x14ac:dyDescent="0.25">
      <c r="A651" t="s">
        <v>191</v>
      </c>
      <c r="B651" t="s">
        <v>0</v>
      </c>
      <c r="C651" s="4">
        <v>0.1</v>
      </c>
    </row>
    <row r="652" spans="1:3" x14ac:dyDescent="0.25">
      <c r="A652" t="s">
        <v>191</v>
      </c>
      <c r="B652" t="s">
        <v>2</v>
      </c>
      <c r="C652" s="4">
        <v>0.1</v>
      </c>
    </row>
    <row r="653" spans="1:3" x14ac:dyDescent="0.25">
      <c r="A653" t="s">
        <v>191</v>
      </c>
      <c r="B653" t="s">
        <v>4</v>
      </c>
      <c r="C653" s="4">
        <v>0.1</v>
      </c>
    </row>
    <row r="654" spans="1:3" x14ac:dyDescent="0.25">
      <c r="A654" t="s">
        <v>191</v>
      </c>
      <c r="B654" t="s">
        <v>6</v>
      </c>
      <c r="C654" s="4">
        <v>0.1</v>
      </c>
    </row>
    <row r="655" spans="1:3" x14ac:dyDescent="0.25">
      <c r="A655" t="s">
        <v>191</v>
      </c>
      <c r="B655" t="s">
        <v>8</v>
      </c>
      <c r="C655" s="4">
        <v>0.1</v>
      </c>
    </row>
    <row r="656" spans="1:3" x14ac:dyDescent="0.25">
      <c r="A656" t="s">
        <v>191</v>
      </c>
      <c r="B656" t="s">
        <v>10</v>
      </c>
      <c r="C656" s="4">
        <v>0.1</v>
      </c>
    </row>
    <row r="657" spans="1:3" x14ac:dyDescent="0.25">
      <c r="A657" t="s">
        <v>191</v>
      </c>
      <c r="B657" t="s">
        <v>12</v>
      </c>
      <c r="C657" s="4">
        <v>0.1</v>
      </c>
    </row>
    <row r="658" spans="1:3" x14ac:dyDescent="0.25">
      <c r="A658" t="s">
        <v>191</v>
      </c>
      <c r="B658" t="s">
        <v>14</v>
      </c>
      <c r="C658" s="4">
        <v>0.1</v>
      </c>
    </row>
    <row r="659" spans="1:3" x14ac:dyDescent="0.25">
      <c r="A659" t="s">
        <v>191</v>
      </c>
      <c r="B659" t="s">
        <v>16</v>
      </c>
      <c r="C659" s="4">
        <v>0.1</v>
      </c>
    </row>
    <row r="660" spans="1:3" x14ac:dyDescent="0.25">
      <c r="A660" t="s">
        <v>191</v>
      </c>
      <c r="B660" t="s">
        <v>18</v>
      </c>
      <c r="C660" s="4">
        <v>0.1</v>
      </c>
    </row>
    <row r="661" spans="1:3" x14ac:dyDescent="0.25">
      <c r="A661" t="s">
        <v>191</v>
      </c>
      <c r="B661" t="s">
        <v>20</v>
      </c>
      <c r="C661" s="4">
        <v>0.1</v>
      </c>
    </row>
    <row r="662" spans="1:3" x14ac:dyDescent="0.25">
      <c r="A662" t="s">
        <v>191</v>
      </c>
      <c r="B662" t="s">
        <v>22</v>
      </c>
      <c r="C662" s="4">
        <v>0.1</v>
      </c>
    </row>
    <row r="663" spans="1:3" x14ac:dyDescent="0.25">
      <c r="A663" t="s">
        <v>191</v>
      </c>
      <c r="B663" t="s">
        <v>24</v>
      </c>
      <c r="C663" s="4">
        <v>0.1</v>
      </c>
    </row>
    <row r="664" spans="1:3" x14ac:dyDescent="0.25">
      <c r="A664" t="s">
        <v>191</v>
      </c>
      <c r="B664" t="s">
        <v>26</v>
      </c>
      <c r="C664" s="4">
        <v>0.1</v>
      </c>
    </row>
    <row r="665" spans="1:3" x14ac:dyDescent="0.25">
      <c r="A665" t="s">
        <v>191</v>
      </c>
      <c r="B665" t="s">
        <v>28</v>
      </c>
      <c r="C665" s="4">
        <v>0.1</v>
      </c>
    </row>
    <row r="666" spans="1:3" x14ac:dyDescent="0.25">
      <c r="A666" t="s">
        <v>191</v>
      </c>
      <c r="B666" t="s">
        <v>30</v>
      </c>
      <c r="C666" s="4">
        <v>0.1</v>
      </c>
    </row>
    <row r="667" spans="1:3" x14ac:dyDescent="0.25">
      <c r="A667" t="s">
        <v>191</v>
      </c>
      <c r="B667" t="s">
        <v>32</v>
      </c>
      <c r="C667" s="4">
        <v>0.1</v>
      </c>
    </row>
    <row r="668" spans="1:3" x14ac:dyDescent="0.25">
      <c r="A668" t="s">
        <v>191</v>
      </c>
      <c r="B668" t="s">
        <v>34</v>
      </c>
      <c r="C668" s="4">
        <v>0.1</v>
      </c>
    </row>
    <row r="669" spans="1:3" x14ac:dyDescent="0.25">
      <c r="A669" t="s">
        <v>191</v>
      </c>
      <c r="B669" t="s">
        <v>36</v>
      </c>
      <c r="C669" s="4">
        <v>0.1</v>
      </c>
    </row>
    <row r="670" spans="1:3" x14ac:dyDescent="0.25">
      <c r="A670" t="s">
        <v>191</v>
      </c>
      <c r="B670" t="s">
        <v>38</v>
      </c>
      <c r="C670" s="4">
        <v>0.1</v>
      </c>
    </row>
    <row r="671" spans="1:3" x14ac:dyDescent="0.25">
      <c r="A671" t="s">
        <v>191</v>
      </c>
      <c r="B671" t="s">
        <v>40</v>
      </c>
      <c r="C671" s="4">
        <v>0.1</v>
      </c>
    </row>
    <row r="672" spans="1:3" x14ac:dyDescent="0.25">
      <c r="A672" t="s">
        <v>191</v>
      </c>
      <c r="B672" t="s">
        <v>42</v>
      </c>
      <c r="C672" s="4">
        <v>0.1</v>
      </c>
    </row>
    <row r="673" spans="1:3" x14ac:dyDescent="0.25">
      <c r="A673" t="s">
        <v>191</v>
      </c>
      <c r="B673" t="s">
        <v>44</v>
      </c>
      <c r="C673" s="4">
        <v>0.1</v>
      </c>
    </row>
    <row r="674" spans="1:3" x14ac:dyDescent="0.25">
      <c r="A674" t="s">
        <v>191</v>
      </c>
      <c r="B674" t="s">
        <v>46</v>
      </c>
      <c r="C674" s="4">
        <v>0.1</v>
      </c>
    </row>
    <row r="675" spans="1:3" x14ac:dyDescent="0.25">
      <c r="A675" t="s">
        <v>191</v>
      </c>
      <c r="B675" t="s">
        <v>48</v>
      </c>
      <c r="C675" s="4">
        <v>0.1</v>
      </c>
    </row>
    <row r="676" spans="1:3" x14ac:dyDescent="0.25">
      <c r="A676" t="s">
        <v>191</v>
      </c>
      <c r="B676" t="s">
        <v>50</v>
      </c>
      <c r="C676" s="4">
        <v>0.1</v>
      </c>
    </row>
    <row r="677" spans="1:3" x14ac:dyDescent="0.25">
      <c r="A677" t="s">
        <v>191</v>
      </c>
      <c r="B677" t="s">
        <v>52</v>
      </c>
      <c r="C677" s="4">
        <v>0.1</v>
      </c>
    </row>
    <row r="678" spans="1:3" x14ac:dyDescent="0.25">
      <c r="A678" t="s">
        <v>191</v>
      </c>
      <c r="B678" t="s">
        <v>54</v>
      </c>
      <c r="C678" s="4">
        <v>0.1</v>
      </c>
    </row>
    <row r="679" spans="1:3" x14ac:dyDescent="0.25">
      <c r="A679" t="s">
        <v>191</v>
      </c>
      <c r="B679" t="s">
        <v>56</v>
      </c>
      <c r="C679" s="4">
        <v>0.1</v>
      </c>
    </row>
    <row r="680" spans="1:3" x14ac:dyDescent="0.25">
      <c r="A680" t="s">
        <v>191</v>
      </c>
      <c r="B680" t="s">
        <v>58</v>
      </c>
      <c r="C680" s="4">
        <v>0.1</v>
      </c>
    </row>
    <row r="681" spans="1:3" x14ac:dyDescent="0.25">
      <c r="A681" t="s">
        <v>191</v>
      </c>
      <c r="B681" t="s">
        <v>60</v>
      </c>
      <c r="C681" s="4">
        <v>0.1</v>
      </c>
    </row>
    <row r="682" spans="1:3" x14ac:dyDescent="0.25">
      <c r="A682" t="s">
        <v>191</v>
      </c>
      <c r="B682" t="s">
        <v>62</v>
      </c>
      <c r="C682" s="4">
        <v>0.1</v>
      </c>
    </row>
    <row r="683" spans="1:3" x14ac:dyDescent="0.25">
      <c r="A683" t="s">
        <v>191</v>
      </c>
      <c r="B683" t="s">
        <v>64</v>
      </c>
      <c r="C683" s="4">
        <v>0.1</v>
      </c>
    </row>
    <row r="684" spans="1:3" x14ac:dyDescent="0.25">
      <c r="A684" t="s">
        <v>191</v>
      </c>
      <c r="B684" t="s">
        <v>66</v>
      </c>
      <c r="C684" s="4">
        <v>0.1</v>
      </c>
    </row>
    <row r="685" spans="1:3" x14ac:dyDescent="0.25">
      <c r="A685" t="s">
        <v>191</v>
      </c>
      <c r="B685" t="s">
        <v>68</v>
      </c>
      <c r="C685" s="4">
        <v>0.1</v>
      </c>
    </row>
    <row r="686" spans="1:3" x14ac:dyDescent="0.25">
      <c r="A686" t="s">
        <v>191</v>
      </c>
      <c r="B686" t="s">
        <v>70</v>
      </c>
      <c r="C686" s="4">
        <v>0.1</v>
      </c>
    </row>
    <row r="687" spans="1:3" x14ac:dyDescent="0.25">
      <c r="A687" t="s">
        <v>191</v>
      </c>
      <c r="B687" t="s">
        <v>72</v>
      </c>
      <c r="C687" s="4">
        <v>0.1</v>
      </c>
    </row>
    <row r="688" spans="1:3" x14ac:dyDescent="0.25">
      <c r="A688" t="s">
        <v>191</v>
      </c>
      <c r="B688" t="s">
        <v>74</v>
      </c>
      <c r="C688" s="4">
        <v>0.1</v>
      </c>
    </row>
    <row r="689" spans="1:3" x14ac:dyDescent="0.25">
      <c r="A689" t="s">
        <v>191</v>
      </c>
      <c r="B689" t="s">
        <v>76</v>
      </c>
      <c r="C689" s="4">
        <v>0.1</v>
      </c>
    </row>
    <row r="690" spans="1:3" x14ac:dyDescent="0.25">
      <c r="A690" t="s">
        <v>191</v>
      </c>
      <c r="B690" t="s">
        <v>78</v>
      </c>
      <c r="C690" s="4">
        <v>0.1</v>
      </c>
    </row>
    <row r="691" spans="1:3" x14ac:dyDescent="0.25">
      <c r="A691" t="s">
        <v>191</v>
      </c>
      <c r="B691" t="s">
        <v>80</v>
      </c>
      <c r="C691" s="4">
        <v>0.1</v>
      </c>
    </row>
    <row r="692" spans="1:3" x14ac:dyDescent="0.25">
      <c r="A692" t="s">
        <v>191</v>
      </c>
      <c r="B692" t="s">
        <v>82</v>
      </c>
      <c r="C692" s="4">
        <v>0.1</v>
      </c>
    </row>
    <row r="693" spans="1:3" x14ac:dyDescent="0.25">
      <c r="A693" t="s">
        <v>191</v>
      </c>
      <c r="B693" t="s">
        <v>84</v>
      </c>
      <c r="C693" s="4">
        <v>0.1</v>
      </c>
    </row>
    <row r="694" spans="1:3" x14ac:dyDescent="0.25">
      <c r="A694" t="s">
        <v>191</v>
      </c>
      <c r="B694" t="s">
        <v>86</v>
      </c>
      <c r="C694" s="4">
        <v>0.1</v>
      </c>
    </row>
    <row r="695" spans="1:3" x14ac:dyDescent="0.25">
      <c r="A695" t="s">
        <v>191</v>
      </c>
      <c r="B695" t="s">
        <v>88</v>
      </c>
      <c r="C695" s="4">
        <v>0.1</v>
      </c>
    </row>
    <row r="696" spans="1:3" x14ac:dyDescent="0.25">
      <c r="A696" t="s">
        <v>191</v>
      </c>
      <c r="B696" t="s">
        <v>90</v>
      </c>
      <c r="C696" s="4">
        <v>0.1</v>
      </c>
    </row>
    <row r="697" spans="1:3" x14ac:dyDescent="0.25">
      <c r="A697" t="s">
        <v>191</v>
      </c>
      <c r="B697" t="s">
        <v>92</v>
      </c>
      <c r="C697" s="4">
        <v>0.1</v>
      </c>
    </row>
    <row r="698" spans="1:3" x14ac:dyDescent="0.25">
      <c r="A698" t="s">
        <v>191</v>
      </c>
      <c r="B698" t="s">
        <v>94</v>
      </c>
      <c r="C698" s="4">
        <v>0.1</v>
      </c>
    </row>
    <row r="699" spans="1:3" x14ac:dyDescent="0.25">
      <c r="A699" t="s">
        <v>191</v>
      </c>
      <c r="B699" t="s">
        <v>96</v>
      </c>
      <c r="C699" s="4">
        <v>0.1</v>
      </c>
    </row>
    <row r="700" spans="1:3" x14ac:dyDescent="0.25">
      <c r="A700" t="s">
        <v>191</v>
      </c>
      <c r="B700" t="s">
        <v>98</v>
      </c>
      <c r="C700" s="4">
        <v>0.1</v>
      </c>
    </row>
    <row r="701" spans="1:3" x14ac:dyDescent="0.25">
      <c r="A701" t="s">
        <v>191</v>
      </c>
      <c r="B701" t="s">
        <v>100</v>
      </c>
      <c r="C701" s="4">
        <v>0.1</v>
      </c>
    </row>
    <row r="702" spans="1:3" x14ac:dyDescent="0.25">
      <c r="A702" t="s">
        <v>191</v>
      </c>
      <c r="B702" t="s">
        <v>102</v>
      </c>
      <c r="C702" s="4">
        <v>0.1</v>
      </c>
    </row>
    <row r="703" spans="1:3" x14ac:dyDescent="0.25">
      <c r="A703" t="s">
        <v>191</v>
      </c>
      <c r="B703" t="s">
        <v>104</v>
      </c>
      <c r="C703" s="4">
        <v>0.1</v>
      </c>
    </row>
    <row r="704" spans="1:3" x14ac:dyDescent="0.25">
      <c r="A704" t="s">
        <v>191</v>
      </c>
      <c r="B704" t="s">
        <v>106</v>
      </c>
      <c r="C704" s="4">
        <v>0.1</v>
      </c>
    </row>
    <row r="705" spans="1:3" x14ac:dyDescent="0.25">
      <c r="A705" t="s">
        <v>191</v>
      </c>
      <c r="B705" t="s">
        <v>108</v>
      </c>
      <c r="C705" s="4">
        <v>0.1</v>
      </c>
    </row>
    <row r="706" spans="1:3" x14ac:dyDescent="0.25">
      <c r="A706" t="s">
        <v>191</v>
      </c>
      <c r="B706" t="s">
        <v>110</v>
      </c>
      <c r="C706" s="4">
        <v>0.1</v>
      </c>
    </row>
    <row r="707" spans="1:3" x14ac:dyDescent="0.25">
      <c r="A707" t="s">
        <v>191</v>
      </c>
      <c r="B707" t="s">
        <v>112</v>
      </c>
      <c r="C707" s="4">
        <v>0.1</v>
      </c>
    </row>
    <row r="708" spans="1:3" x14ac:dyDescent="0.25">
      <c r="A708" t="s">
        <v>191</v>
      </c>
      <c r="B708" t="s">
        <v>114</v>
      </c>
      <c r="C708" s="4">
        <v>0.1</v>
      </c>
    </row>
    <row r="709" spans="1:3" x14ac:dyDescent="0.25">
      <c r="A709" t="s">
        <v>191</v>
      </c>
      <c r="B709" t="s">
        <v>116</v>
      </c>
      <c r="C709" s="4">
        <v>0.1</v>
      </c>
    </row>
    <row r="710" spans="1:3" x14ac:dyDescent="0.25">
      <c r="A710" t="s">
        <v>194</v>
      </c>
      <c r="B710" t="s">
        <v>0</v>
      </c>
      <c r="C710" s="4">
        <v>0.17</v>
      </c>
    </row>
    <row r="711" spans="1:3" x14ac:dyDescent="0.25">
      <c r="A711" t="s">
        <v>194</v>
      </c>
      <c r="B711" t="s">
        <v>2</v>
      </c>
      <c r="C711" s="4">
        <v>0.17</v>
      </c>
    </row>
    <row r="712" spans="1:3" x14ac:dyDescent="0.25">
      <c r="A712" t="s">
        <v>194</v>
      </c>
      <c r="B712" t="s">
        <v>4</v>
      </c>
      <c r="C712" s="4">
        <v>0.17</v>
      </c>
    </row>
    <row r="713" spans="1:3" x14ac:dyDescent="0.25">
      <c r="A713" t="s">
        <v>194</v>
      </c>
      <c r="B713" t="s">
        <v>6</v>
      </c>
      <c r="C713" s="4">
        <v>0.17</v>
      </c>
    </row>
    <row r="714" spans="1:3" x14ac:dyDescent="0.25">
      <c r="A714" t="s">
        <v>194</v>
      </c>
      <c r="B714" t="s">
        <v>8</v>
      </c>
      <c r="C714" s="4">
        <v>0.17</v>
      </c>
    </row>
    <row r="715" spans="1:3" x14ac:dyDescent="0.25">
      <c r="A715" t="s">
        <v>194</v>
      </c>
      <c r="B715" t="s">
        <v>10</v>
      </c>
      <c r="C715" s="4">
        <v>0.17</v>
      </c>
    </row>
    <row r="716" spans="1:3" x14ac:dyDescent="0.25">
      <c r="A716" t="s">
        <v>194</v>
      </c>
      <c r="B716" t="s">
        <v>12</v>
      </c>
      <c r="C716" s="4">
        <v>0.17</v>
      </c>
    </row>
    <row r="717" spans="1:3" x14ac:dyDescent="0.25">
      <c r="A717" t="s">
        <v>194</v>
      </c>
      <c r="B717" t="s">
        <v>14</v>
      </c>
      <c r="C717" s="4">
        <v>0.17</v>
      </c>
    </row>
    <row r="718" spans="1:3" x14ac:dyDescent="0.25">
      <c r="A718" t="s">
        <v>194</v>
      </c>
      <c r="B718" t="s">
        <v>16</v>
      </c>
      <c r="C718" s="4">
        <v>0.17</v>
      </c>
    </row>
    <row r="719" spans="1:3" x14ac:dyDescent="0.25">
      <c r="A719" t="s">
        <v>194</v>
      </c>
      <c r="B719" t="s">
        <v>18</v>
      </c>
      <c r="C719" s="4">
        <v>0.17</v>
      </c>
    </row>
    <row r="720" spans="1:3" x14ac:dyDescent="0.25">
      <c r="A720" t="s">
        <v>194</v>
      </c>
      <c r="B720" t="s">
        <v>20</v>
      </c>
      <c r="C720" s="4">
        <v>0.17</v>
      </c>
    </row>
    <row r="721" spans="1:3" x14ac:dyDescent="0.25">
      <c r="A721" t="s">
        <v>194</v>
      </c>
      <c r="B721" t="s">
        <v>22</v>
      </c>
      <c r="C721" s="4">
        <v>0.17</v>
      </c>
    </row>
    <row r="722" spans="1:3" x14ac:dyDescent="0.25">
      <c r="A722" t="s">
        <v>194</v>
      </c>
      <c r="B722" t="s">
        <v>24</v>
      </c>
      <c r="C722" s="4">
        <v>0.17</v>
      </c>
    </row>
    <row r="723" spans="1:3" x14ac:dyDescent="0.25">
      <c r="A723" t="s">
        <v>194</v>
      </c>
      <c r="B723" t="s">
        <v>26</v>
      </c>
      <c r="C723" s="4">
        <v>0.17</v>
      </c>
    </row>
    <row r="724" spans="1:3" x14ac:dyDescent="0.25">
      <c r="A724" t="s">
        <v>194</v>
      </c>
      <c r="B724" t="s">
        <v>28</v>
      </c>
      <c r="C724" s="4">
        <v>0.17</v>
      </c>
    </row>
    <row r="725" spans="1:3" x14ac:dyDescent="0.25">
      <c r="A725" t="s">
        <v>194</v>
      </c>
      <c r="B725" t="s">
        <v>30</v>
      </c>
      <c r="C725" s="4">
        <v>0.17</v>
      </c>
    </row>
    <row r="726" spans="1:3" x14ac:dyDescent="0.25">
      <c r="A726" t="s">
        <v>194</v>
      </c>
      <c r="B726" t="s">
        <v>32</v>
      </c>
      <c r="C726" s="4">
        <v>0.17</v>
      </c>
    </row>
    <row r="727" spans="1:3" x14ac:dyDescent="0.25">
      <c r="A727" t="s">
        <v>194</v>
      </c>
      <c r="B727" t="s">
        <v>34</v>
      </c>
      <c r="C727" s="4">
        <v>0.17</v>
      </c>
    </row>
    <row r="728" spans="1:3" x14ac:dyDescent="0.25">
      <c r="A728" t="s">
        <v>194</v>
      </c>
      <c r="B728" t="s">
        <v>36</v>
      </c>
      <c r="C728" s="4">
        <v>0.17</v>
      </c>
    </row>
    <row r="729" spans="1:3" x14ac:dyDescent="0.25">
      <c r="A729" t="s">
        <v>194</v>
      </c>
      <c r="B729" t="s">
        <v>38</v>
      </c>
      <c r="C729" s="4">
        <v>0.17</v>
      </c>
    </row>
    <row r="730" spans="1:3" x14ac:dyDescent="0.25">
      <c r="A730" t="s">
        <v>194</v>
      </c>
      <c r="B730" t="s">
        <v>40</v>
      </c>
      <c r="C730" s="4">
        <v>0.17</v>
      </c>
    </row>
    <row r="731" spans="1:3" x14ac:dyDescent="0.25">
      <c r="A731" t="s">
        <v>194</v>
      </c>
      <c r="B731" t="s">
        <v>42</v>
      </c>
      <c r="C731" s="4">
        <v>0.17</v>
      </c>
    </row>
    <row r="732" spans="1:3" x14ac:dyDescent="0.25">
      <c r="A732" t="s">
        <v>194</v>
      </c>
      <c r="B732" t="s">
        <v>44</v>
      </c>
      <c r="C732" s="4">
        <v>0.17</v>
      </c>
    </row>
    <row r="733" spans="1:3" x14ac:dyDescent="0.25">
      <c r="A733" t="s">
        <v>194</v>
      </c>
      <c r="B733" t="s">
        <v>46</v>
      </c>
      <c r="C733" s="4">
        <v>0.17</v>
      </c>
    </row>
    <row r="734" spans="1:3" x14ac:dyDescent="0.25">
      <c r="A734" t="s">
        <v>194</v>
      </c>
      <c r="B734" t="s">
        <v>48</v>
      </c>
      <c r="C734" s="4">
        <v>0.17</v>
      </c>
    </row>
    <row r="735" spans="1:3" x14ac:dyDescent="0.25">
      <c r="A735" t="s">
        <v>194</v>
      </c>
      <c r="B735" t="s">
        <v>50</v>
      </c>
      <c r="C735" s="4">
        <v>0.17</v>
      </c>
    </row>
    <row r="736" spans="1:3" x14ac:dyDescent="0.25">
      <c r="A736" t="s">
        <v>194</v>
      </c>
      <c r="B736" t="s">
        <v>52</v>
      </c>
      <c r="C736" s="4">
        <v>0.17</v>
      </c>
    </row>
    <row r="737" spans="1:3" x14ac:dyDescent="0.25">
      <c r="A737" t="s">
        <v>194</v>
      </c>
      <c r="B737" t="s">
        <v>54</v>
      </c>
      <c r="C737" s="4">
        <v>0.17</v>
      </c>
    </row>
    <row r="738" spans="1:3" x14ac:dyDescent="0.25">
      <c r="A738" t="s">
        <v>194</v>
      </c>
      <c r="B738" t="s">
        <v>56</v>
      </c>
      <c r="C738" s="4">
        <v>0.17</v>
      </c>
    </row>
    <row r="739" spans="1:3" x14ac:dyDescent="0.25">
      <c r="A739" t="s">
        <v>194</v>
      </c>
      <c r="B739" t="s">
        <v>58</v>
      </c>
      <c r="C739" s="4">
        <v>0.17</v>
      </c>
    </row>
    <row r="740" spans="1:3" x14ac:dyDescent="0.25">
      <c r="A740" t="s">
        <v>194</v>
      </c>
      <c r="B740" t="s">
        <v>60</v>
      </c>
      <c r="C740" s="4">
        <v>0.17</v>
      </c>
    </row>
    <row r="741" spans="1:3" x14ac:dyDescent="0.25">
      <c r="A741" t="s">
        <v>194</v>
      </c>
      <c r="B741" t="s">
        <v>62</v>
      </c>
      <c r="C741" s="4">
        <v>0.17</v>
      </c>
    </row>
    <row r="742" spans="1:3" x14ac:dyDescent="0.25">
      <c r="A742" t="s">
        <v>194</v>
      </c>
      <c r="B742" t="s">
        <v>64</v>
      </c>
      <c r="C742" s="4">
        <v>0.17</v>
      </c>
    </row>
    <row r="743" spans="1:3" x14ac:dyDescent="0.25">
      <c r="A743" t="s">
        <v>194</v>
      </c>
      <c r="B743" t="s">
        <v>66</v>
      </c>
      <c r="C743" s="4">
        <v>0.17</v>
      </c>
    </row>
    <row r="744" spans="1:3" x14ac:dyDescent="0.25">
      <c r="A744" t="s">
        <v>194</v>
      </c>
      <c r="B744" t="s">
        <v>68</v>
      </c>
      <c r="C744" s="4">
        <v>0.17</v>
      </c>
    </row>
    <row r="745" spans="1:3" x14ac:dyDescent="0.25">
      <c r="A745" t="s">
        <v>194</v>
      </c>
      <c r="B745" t="s">
        <v>70</v>
      </c>
      <c r="C745" s="4">
        <v>0.17</v>
      </c>
    </row>
    <row r="746" spans="1:3" x14ac:dyDescent="0.25">
      <c r="A746" t="s">
        <v>194</v>
      </c>
      <c r="B746" t="s">
        <v>72</v>
      </c>
      <c r="C746" s="4">
        <v>0.17</v>
      </c>
    </row>
    <row r="747" spans="1:3" x14ac:dyDescent="0.25">
      <c r="A747" t="s">
        <v>194</v>
      </c>
      <c r="B747" t="s">
        <v>74</v>
      </c>
      <c r="C747" s="4">
        <v>0.17</v>
      </c>
    </row>
    <row r="748" spans="1:3" x14ac:dyDescent="0.25">
      <c r="A748" t="s">
        <v>194</v>
      </c>
      <c r="B748" t="s">
        <v>76</v>
      </c>
      <c r="C748" s="4">
        <v>0.17</v>
      </c>
    </row>
    <row r="749" spans="1:3" x14ac:dyDescent="0.25">
      <c r="A749" t="s">
        <v>194</v>
      </c>
      <c r="B749" t="s">
        <v>78</v>
      </c>
      <c r="C749" s="4">
        <v>0.17</v>
      </c>
    </row>
    <row r="750" spans="1:3" x14ac:dyDescent="0.25">
      <c r="A750" t="s">
        <v>194</v>
      </c>
      <c r="B750" t="s">
        <v>80</v>
      </c>
      <c r="C750" s="4">
        <v>0.17</v>
      </c>
    </row>
    <row r="751" spans="1:3" x14ac:dyDescent="0.25">
      <c r="A751" t="s">
        <v>194</v>
      </c>
      <c r="B751" t="s">
        <v>82</v>
      </c>
      <c r="C751" s="4">
        <v>0.17</v>
      </c>
    </row>
    <row r="752" spans="1:3" x14ac:dyDescent="0.25">
      <c r="A752" t="s">
        <v>194</v>
      </c>
      <c r="B752" t="s">
        <v>84</v>
      </c>
      <c r="C752" s="4">
        <v>0.17</v>
      </c>
    </row>
    <row r="753" spans="1:3" x14ac:dyDescent="0.25">
      <c r="A753" t="s">
        <v>194</v>
      </c>
      <c r="B753" t="s">
        <v>86</v>
      </c>
      <c r="C753" s="4">
        <v>0.17</v>
      </c>
    </row>
    <row r="754" spans="1:3" x14ac:dyDescent="0.25">
      <c r="A754" t="s">
        <v>194</v>
      </c>
      <c r="B754" t="s">
        <v>88</v>
      </c>
      <c r="C754" s="4">
        <v>0.17</v>
      </c>
    </row>
    <row r="755" spans="1:3" x14ac:dyDescent="0.25">
      <c r="A755" t="s">
        <v>194</v>
      </c>
      <c r="B755" t="s">
        <v>90</v>
      </c>
      <c r="C755" s="4">
        <v>0.17</v>
      </c>
    </row>
    <row r="756" spans="1:3" x14ac:dyDescent="0.25">
      <c r="A756" t="s">
        <v>194</v>
      </c>
      <c r="B756" t="s">
        <v>92</v>
      </c>
      <c r="C756" s="4">
        <v>0.17</v>
      </c>
    </row>
    <row r="757" spans="1:3" x14ac:dyDescent="0.25">
      <c r="A757" t="s">
        <v>194</v>
      </c>
      <c r="B757" t="s">
        <v>94</v>
      </c>
      <c r="C757" s="4">
        <v>0.17</v>
      </c>
    </row>
    <row r="758" spans="1:3" x14ac:dyDescent="0.25">
      <c r="A758" t="s">
        <v>194</v>
      </c>
      <c r="B758" t="s">
        <v>96</v>
      </c>
      <c r="C758" s="4">
        <v>0.17</v>
      </c>
    </row>
    <row r="759" spans="1:3" x14ac:dyDescent="0.25">
      <c r="A759" t="s">
        <v>194</v>
      </c>
      <c r="B759" t="s">
        <v>98</v>
      </c>
      <c r="C759" s="4">
        <v>0.17</v>
      </c>
    </row>
    <row r="760" spans="1:3" x14ac:dyDescent="0.25">
      <c r="A760" t="s">
        <v>194</v>
      </c>
      <c r="B760" t="s">
        <v>100</v>
      </c>
      <c r="C760" s="4">
        <v>0.17</v>
      </c>
    </row>
    <row r="761" spans="1:3" x14ac:dyDescent="0.25">
      <c r="A761" t="s">
        <v>194</v>
      </c>
      <c r="B761" t="s">
        <v>102</v>
      </c>
      <c r="C761" s="4">
        <v>0.17</v>
      </c>
    </row>
    <row r="762" spans="1:3" x14ac:dyDescent="0.25">
      <c r="A762" t="s">
        <v>194</v>
      </c>
      <c r="B762" t="s">
        <v>104</v>
      </c>
      <c r="C762" s="4">
        <v>0.17</v>
      </c>
    </row>
    <row r="763" spans="1:3" x14ac:dyDescent="0.25">
      <c r="A763" t="s">
        <v>194</v>
      </c>
      <c r="B763" t="s">
        <v>106</v>
      </c>
      <c r="C763" s="4">
        <v>0.17</v>
      </c>
    </row>
    <row r="764" spans="1:3" x14ac:dyDescent="0.25">
      <c r="A764" t="s">
        <v>194</v>
      </c>
      <c r="B764" t="s">
        <v>108</v>
      </c>
      <c r="C764" s="4">
        <v>0.17</v>
      </c>
    </row>
    <row r="765" spans="1:3" x14ac:dyDescent="0.25">
      <c r="A765" t="s">
        <v>194</v>
      </c>
      <c r="B765" t="s">
        <v>110</v>
      </c>
      <c r="C765" s="4">
        <v>0.17</v>
      </c>
    </row>
    <row r="766" spans="1:3" x14ac:dyDescent="0.25">
      <c r="A766" t="s">
        <v>194</v>
      </c>
      <c r="B766" t="s">
        <v>112</v>
      </c>
      <c r="C766" s="4">
        <v>0.17</v>
      </c>
    </row>
    <row r="767" spans="1:3" x14ac:dyDescent="0.25">
      <c r="A767" t="s">
        <v>194</v>
      </c>
      <c r="B767" t="s">
        <v>114</v>
      </c>
      <c r="C767" s="4">
        <v>0.17</v>
      </c>
    </row>
    <row r="768" spans="1:3" x14ac:dyDescent="0.25">
      <c r="A768" t="s">
        <v>194</v>
      </c>
      <c r="B768" t="s">
        <v>116</v>
      </c>
      <c r="C768" s="4">
        <v>0.17</v>
      </c>
    </row>
    <row r="769" spans="1:3" x14ac:dyDescent="0.25">
      <c r="A769" t="s">
        <v>186</v>
      </c>
      <c r="B769" t="s">
        <v>0</v>
      </c>
      <c r="C769" s="4">
        <v>0.21</v>
      </c>
    </row>
    <row r="770" spans="1:3" x14ac:dyDescent="0.25">
      <c r="A770" t="s">
        <v>186</v>
      </c>
      <c r="B770" t="s">
        <v>2</v>
      </c>
      <c r="C770" s="4">
        <v>0.21</v>
      </c>
    </row>
    <row r="771" spans="1:3" x14ac:dyDescent="0.25">
      <c r="A771" t="s">
        <v>186</v>
      </c>
      <c r="B771" t="s">
        <v>4</v>
      </c>
      <c r="C771" s="4">
        <v>0.21</v>
      </c>
    </row>
    <row r="772" spans="1:3" x14ac:dyDescent="0.25">
      <c r="A772" t="s">
        <v>186</v>
      </c>
      <c r="B772" t="s">
        <v>6</v>
      </c>
      <c r="C772" s="4">
        <v>0.21</v>
      </c>
    </row>
    <row r="773" spans="1:3" x14ac:dyDescent="0.25">
      <c r="A773" t="s">
        <v>186</v>
      </c>
      <c r="B773" t="s">
        <v>8</v>
      </c>
      <c r="C773" s="4">
        <v>0.21</v>
      </c>
    </row>
    <row r="774" spans="1:3" x14ac:dyDescent="0.25">
      <c r="A774" t="s">
        <v>186</v>
      </c>
      <c r="B774" t="s">
        <v>10</v>
      </c>
      <c r="C774" s="4">
        <v>0.21</v>
      </c>
    </row>
    <row r="775" spans="1:3" x14ac:dyDescent="0.25">
      <c r="A775" t="s">
        <v>186</v>
      </c>
      <c r="B775" t="s">
        <v>12</v>
      </c>
      <c r="C775" s="4">
        <v>0.21</v>
      </c>
    </row>
    <row r="776" spans="1:3" x14ac:dyDescent="0.25">
      <c r="A776" t="s">
        <v>186</v>
      </c>
      <c r="B776" t="s">
        <v>14</v>
      </c>
      <c r="C776" s="4">
        <v>0.21</v>
      </c>
    </row>
    <row r="777" spans="1:3" x14ac:dyDescent="0.25">
      <c r="A777" t="s">
        <v>186</v>
      </c>
      <c r="B777" t="s">
        <v>16</v>
      </c>
      <c r="C777" s="4">
        <v>0.21</v>
      </c>
    </row>
    <row r="778" spans="1:3" x14ac:dyDescent="0.25">
      <c r="A778" t="s">
        <v>186</v>
      </c>
      <c r="B778" t="s">
        <v>18</v>
      </c>
      <c r="C778" s="4">
        <v>0.21</v>
      </c>
    </row>
    <row r="779" spans="1:3" x14ac:dyDescent="0.25">
      <c r="A779" t="s">
        <v>186</v>
      </c>
      <c r="B779" t="s">
        <v>20</v>
      </c>
      <c r="C779" s="4">
        <v>0.21</v>
      </c>
    </row>
    <row r="780" spans="1:3" x14ac:dyDescent="0.25">
      <c r="A780" t="s">
        <v>186</v>
      </c>
      <c r="B780" t="s">
        <v>22</v>
      </c>
      <c r="C780" s="4">
        <v>0.21</v>
      </c>
    </row>
    <row r="781" spans="1:3" x14ac:dyDescent="0.25">
      <c r="A781" t="s">
        <v>186</v>
      </c>
      <c r="B781" t="s">
        <v>24</v>
      </c>
      <c r="C781" s="4">
        <v>0.21</v>
      </c>
    </row>
    <row r="782" spans="1:3" x14ac:dyDescent="0.25">
      <c r="A782" t="s">
        <v>186</v>
      </c>
      <c r="B782" t="s">
        <v>26</v>
      </c>
      <c r="C782" s="4">
        <v>0.21</v>
      </c>
    </row>
    <row r="783" spans="1:3" x14ac:dyDescent="0.25">
      <c r="A783" t="s">
        <v>186</v>
      </c>
      <c r="B783" t="s">
        <v>28</v>
      </c>
      <c r="C783" s="4">
        <v>0.21</v>
      </c>
    </row>
    <row r="784" spans="1:3" x14ac:dyDescent="0.25">
      <c r="A784" t="s">
        <v>186</v>
      </c>
      <c r="B784" t="s">
        <v>30</v>
      </c>
      <c r="C784" s="4">
        <v>0.21</v>
      </c>
    </row>
    <row r="785" spans="1:3" x14ac:dyDescent="0.25">
      <c r="A785" t="s">
        <v>186</v>
      </c>
      <c r="B785" t="s">
        <v>32</v>
      </c>
      <c r="C785" s="4">
        <v>0.21</v>
      </c>
    </row>
    <row r="786" spans="1:3" x14ac:dyDescent="0.25">
      <c r="A786" t="s">
        <v>186</v>
      </c>
      <c r="B786" t="s">
        <v>34</v>
      </c>
      <c r="C786" s="4">
        <v>0.21</v>
      </c>
    </row>
    <row r="787" spans="1:3" x14ac:dyDescent="0.25">
      <c r="A787" t="s">
        <v>186</v>
      </c>
      <c r="B787" t="s">
        <v>36</v>
      </c>
      <c r="C787" s="4">
        <v>0.21</v>
      </c>
    </row>
    <row r="788" spans="1:3" x14ac:dyDescent="0.25">
      <c r="A788" t="s">
        <v>186</v>
      </c>
      <c r="B788" t="s">
        <v>38</v>
      </c>
      <c r="C788" s="4">
        <v>0.21</v>
      </c>
    </row>
    <row r="789" spans="1:3" x14ac:dyDescent="0.25">
      <c r="A789" t="s">
        <v>186</v>
      </c>
      <c r="B789" t="s">
        <v>40</v>
      </c>
      <c r="C789" s="4">
        <v>0.21</v>
      </c>
    </row>
    <row r="790" spans="1:3" x14ac:dyDescent="0.25">
      <c r="A790" t="s">
        <v>186</v>
      </c>
      <c r="B790" t="s">
        <v>42</v>
      </c>
      <c r="C790" s="4">
        <v>0.21</v>
      </c>
    </row>
    <row r="791" spans="1:3" x14ac:dyDescent="0.25">
      <c r="A791" t="s">
        <v>186</v>
      </c>
      <c r="B791" t="s">
        <v>44</v>
      </c>
      <c r="C791" s="4">
        <v>0.21</v>
      </c>
    </row>
    <row r="792" spans="1:3" x14ac:dyDescent="0.25">
      <c r="A792" t="s">
        <v>186</v>
      </c>
      <c r="B792" t="s">
        <v>46</v>
      </c>
      <c r="C792" s="4">
        <v>0.21</v>
      </c>
    </row>
    <row r="793" spans="1:3" x14ac:dyDescent="0.25">
      <c r="A793" t="s">
        <v>186</v>
      </c>
      <c r="B793" t="s">
        <v>48</v>
      </c>
      <c r="C793" s="4">
        <v>0.21</v>
      </c>
    </row>
    <row r="794" spans="1:3" x14ac:dyDescent="0.25">
      <c r="A794" t="s">
        <v>186</v>
      </c>
      <c r="B794" t="s">
        <v>50</v>
      </c>
      <c r="C794" s="4">
        <v>0.21</v>
      </c>
    </row>
    <row r="795" spans="1:3" x14ac:dyDescent="0.25">
      <c r="A795" t="s">
        <v>186</v>
      </c>
      <c r="B795" t="s">
        <v>52</v>
      </c>
      <c r="C795" s="4">
        <v>0.21</v>
      </c>
    </row>
    <row r="796" spans="1:3" x14ac:dyDescent="0.25">
      <c r="A796" t="s">
        <v>186</v>
      </c>
      <c r="B796" t="s">
        <v>54</v>
      </c>
      <c r="C796" s="4">
        <v>0.21</v>
      </c>
    </row>
    <row r="797" spans="1:3" x14ac:dyDescent="0.25">
      <c r="A797" t="s">
        <v>186</v>
      </c>
      <c r="B797" t="s">
        <v>56</v>
      </c>
      <c r="C797" s="4">
        <v>0.21</v>
      </c>
    </row>
    <row r="798" spans="1:3" x14ac:dyDescent="0.25">
      <c r="A798" t="s">
        <v>186</v>
      </c>
      <c r="B798" t="s">
        <v>58</v>
      </c>
      <c r="C798" s="4">
        <v>0.21</v>
      </c>
    </row>
    <row r="799" spans="1:3" x14ac:dyDescent="0.25">
      <c r="A799" t="s">
        <v>186</v>
      </c>
      <c r="B799" t="s">
        <v>60</v>
      </c>
      <c r="C799" s="4">
        <v>0.21</v>
      </c>
    </row>
    <row r="800" spans="1:3" x14ac:dyDescent="0.25">
      <c r="A800" t="s">
        <v>186</v>
      </c>
      <c r="B800" t="s">
        <v>62</v>
      </c>
      <c r="C800" s="4">
        <v>0.21</v>
      </c>
    </row>
    <row r="801" spans="1:3" x14ac:dyDescent="0.25">
      <c r="A801" t="s">
        <v>186</v>
      </c>
      <c r="B801" t="s">
        <v>64</v>
      </c>
      <c r="C801" s="4">
        <v>0.21</v>
      </c>
    </row>
    <row r="802" spans="1:3" x14ac:dyDescent="0.25">
      <c r="A802" t="s">
        <v>186</v>
      </c>
      <c r="B802" t="s">
        <v>66</v>
      </c>
      <c r="C802" s="4">
        <v>0.21</v>
      </c>
    </row>
    <row r="803" spans="1:3" x14ac:dyDescent="0.25">
      <c r="A803" t="s">
        <v>186</v>
      </c>
      <c r="B803" t="s">
        <v>68</v>
      </c>
      <c r="C803" s="4">
        <v>0.21</v>
      </c>
    </row>
    <row r="804" spans="1:3" x14ac:dyDescent="0.25">
      <c r="A804" t="s">
        <v>186</v>
      </c>
      <c r="B804" t="s">
        <v>70</v>
      </c>
      <c r="C804" s="4">
        <v>0.21</v>
      </c>
    </row>
    <row r="805" spans="1:3" x14ac:dyDescent="0.25">
      <c r="A805" t="s">
        <v>186</v>
      </c>
      <c r="B805" t="s">
        <v>72</v>
      </c>
      <c r="C805" s="4">
        <v>0.21</v>
      </c>
    </row>
    <row r="806" spans="1:3" x14ac:dyDescent="0.25">
      <c r="A806" t="s">
        <v>186</v>
      </c>
      <c r="B806" t="s">
        <v>74</v>
      </c>
      <c r="C806" s="4">
        <v>0.21</v>
      </c>
    </row>
    <row r="807" spans="1:3" x14ac:dyDescent="0.25">
      <c r="A807" t="s">
        <v>186</v>
      </c>
      <c r="B807" t="s">
        <v>76</v>
      </c>
      <c r="C807" s="4">
        <v>0.21</v>
      </c>
    </row>
    <row r="808" spans="1:3" x14ac:dyDescent="0.25">
      <c r="A808" t="s">
        <v>186</v>
      </c>
      <c r="B808" t="s">
        <v>78</v>
      </c>
      <c r="C808" s="4">
        <v>0.21</v>
      </c>
    </row>
    <row r="809" spans="1:3" x14ac:dyDescent="0.25">
      <c r="A809" t="s">
        <v>186</v>
      </c>
      <c r="B809" t="s">
        <v>80</v>
      </c>
      <c r="C809" s="4">
        <v>0.21</v>
      </c>
    </row>
    <row r="810" spans="1:3" x14ac:dyDescent="0.25">
      <c r="A810" t="s">
        <v>186</v>
      </c>
      <c r="B810" t="s">
        <v>82</v>
      </c>
      <c r="C810" s="4">
        <v>0.21</v>
      </c>
    </row>
    <row r="811" spans="1:3" x14ac:dyDescent="0.25">
      <c r="A811" t="s">
        <v>186</v>
      </c>
      <c r="B811" t="s">
        <v>84</v>
      </c>
      <c r="C811" s="4">
        <v>0.21</v>
      </c>
    </row>
    <row r="812" spans="1:3" x14ac:dyDescent="0.25">
      <c r="A812" t="s">
        <v>186</v>
      </c>
      <c r="B812" t="s">
        <v>86</v>
      </c>
      <c r="C812" s="4">
        <v>0.21</v>
      </c>
    </row>
    <row r="813" spans="1:3" x14ac:dyDescent="0.25">
      <c r="A813" t="s">
        <v>186</v>
      </c>
      <c r="B813" t="s">
        <v>88</v>
      </c>
      <c r="C813" s="4">
        <v>0.21</v>
      </c>
    </row>
    <row r="814" spans="1:3" x14ac:dyDescent="0.25">
      <c r="A814" t="s">
        <v>186</v>
      </c>
      <c r="B814" t="s">
        <v>90</v>
      </c>
      <c r="C814" s="4">
        <v>0.21</v>
      </c>
    </row>
    <row r="815" spans="1:3" x14ac:dyDescent="0.25">
      <c r="A815" t="s">
        <v>186</v>
      </c>
      <c r="B815" t="s">
        <v>92</v>
      </c>
      <c r="C815" s="4">
        <v>0.21</v>
      </c>
    </row>
    <row r="816" spans="1:3" x14ac:dyDescent="0.25">
      <c r="A816" t="s">
        <v>186</v>
      </c>
      <c r="B816" t="s">
        <v>94</v>
      </c>
      <c r="C816" s="4">
        <v>0.21</v>
      </c>
    </row>
    <row r="817" spans="1:3" x14ac:dyDescent="0.25">
      <c r="A817" t="s">
        <v>186</v>
      </c>
      <c r="B817" t="s">
        <v>96</v>
      </c>
      <c r="C817" s="4">
        <v>0.21</v>
      </c>
    </row>
    <row r="818" spans="1:3" x14ac:dyDescent="0.25">
      <c r="A818" t="s">
        <v>186</v>
      </c>
      <c r="B818" t="s">
        <v>98</v>
      </c>
      <c r="C818" s="4">
        <v>0.21</v>
      </c>
    </row>
    <row r="819" spans="1:3" x14ac:dyDescent="0.25">
      <c r="A819" t="s">
        <v>186</v>
      </c>
      <c r="B819" t="s">
        <v>100</v>
      </c>
      <c r="C819" s="4">
        <v>0.21</v>
      </c>
    </row>
    <row r="820" spans="1:3" x14ac:dyDescent="0.25">
      <c r="A820" t="s">
        <v>186</v>
      </c>
      <c r="B820" t="s">
        <v>102</v>
      </c>
      <c r="C820" s="4">
        <v>0.21</v>
      </c>
    </row>
    <row r="821" spans="1:3" x14ac:dyDescent="0.25">
      <c r="A821" t="s">
        <v>186</v>
      </c>
      <c r="B821" t="s">
        <v>104</v>
      </c>
      <c r="C821" s="4">
        <v>0.21</v>
      </c>
    </row>
    <row r="822" spans="1:3" x14ac:dyDescent="0.25">
      <c r="A822" t="s">
        <v>186</v>
      </c>
      <c r="B822" t="s">
        <v>106</v>
      </c>
      <c r="C822" s="4">
        <v>0.21</v>
      </c>
    </row>
    <row r="823" spans="1:3" x14ac:dyDescent="0.25">
      <c r="A823" t="s">
        <v>186</v>
      </c>
      <c r="B823" t="s">
        <v>108</v>
      </c>
      <c r="C823" s="4">
        <v>0.21</v>
      </c>
    </row>
    <row r="824" spans="1:3" x14ac:dyDescent="0.25">
      <c r="A824" t="s">
        <v>186</v>
      </c>
      <c r="B824" t="s">
        <v>110</v>
      </c>
      <c r="C824" s="4">
        <v>0.21</v>
      </c>
    </row>
    <row r="825" spans="1:3" x14ac:dyDescent="0.25">
      <c r="A825" t="s">
        <v>186</v>
      </c>
      <c r="B825" t="s">
        <v>112</v>
      </c>
      <c r="C825" s="4">
        <v>0.21</v>
      </c>
    </row>
    <row r="826" spans="1:3" x14ac:dyDescent="0.25">
      <c r="A826" t="s">
        <v>186</v>
      </c>
      <c r="B826" t="s">
        <v>114</v>
      </c>
      <c r="C826" s="4">
        <v>0.21</v>
      </c>
    </row>
    <row r="827" spans="1:3" x14ac:dyDescent="0.25">
      <c r="A827" t="s">
        <v>186</v>
      </c>
      <c r="B827" t="s">
        <v>116</v>
      </c>
      <c r="C827" s="4">
        <v>0.21</v>
      </c>
    </row>
    <row r="828" spans="1:3" x14ac:dyDescent="0.25">
      <c r="A828" t="s">
        <v>195</v>
      </c>
      <c r="B828" t="s">
        <v>0</v>
      </c>
      <c r="C828" s="4">
        <v>0.2</v>
      </c>
    </row>
    <row r="829" spans="1:3" x14ac:dyDescent="0.25">
      <c r="A829" t="s">
        <v>195</v>
      </c>
      <c r="B829" t="s">
        <v>2</v>
      </c>
      <c r="C829" s="4">
        <v>0.2</v>
      </c>
    </row>
    <row r="830" spans="1:3" x14ac:dyDescent="0.25">
      <c r="A830" t="s">
        <v>195</v>
      </c>
      <c r="B830" t="s">
        <v>4</v>
      </c>
      <c r="C830" s="4">
        <v>0.2</v>
      </c>
    </row>
    <row r="831" spans="1:3" x14ac:dyDescent="0.25">
      <c r="A831" t="s">
        <v>195</v>
      </c>
      <c r="B831" t="s">
        <v>6</v>
      </c>
      <c r="C831" s="4">
        <v>0.2</v>
      </c>
    </row>
    <row r="832" spans="1:3" x14ac:dyDescent="0.25">
      <c r="A832" t="s">
        <v>195</v>
      </c>
      <c r="B832" t="s">
        <v>8</v>
      </c>
      <c r="C832" s="4">
        <v>0.2</v>
      </c>
    </row>
    <row r="833" spans="1:3" x14ac:dyDescent="0.25">
      <c r="A833" t="s">
        <v>195</v>
      </c>
      <c r="B833" t="s">
        <v>10</v>
      </c>
      <c r="C833" s="4">
        <v>0.2</v>
      </c>
    </row>
    <row r="834" spans="1:3" x14ac:dyDescent="0.25">
      <c r="A834" t="s">
        <v>195</v>
      </c>
      <c r="B834" t="s">
        <v>12</v>
      </c>
      <c r="C834" s="4">
        <v>0.2</v>
      </c>
    </row>
    <row r="835" spans="1:3" x14ac:dyDescent="0.25">
      <c r="A835" t="s">
        <v>195</v>
      </c>
      <c r="B835" t="s">
        <v>14</v>
      </c>
      <c r="C835" s="4">
        <v>0.2</v>
      </c>
    </row>
    <row r="836" spans="1:3" x14ac:dyDescent="0.25">
      <c r="A836" t="s">
        <v>195</v>
      </c>
      <c r="B836" t="s">
        <v>16</v>
      </c>
      <c r="C836" s="4">
        <v>0.2</v>
      </c>
    </row>
    <row r="837" spans="1:3" x14ac:dyDescent="0.25">
      <c r="A837" t="s">
        <v>195</v>
      </c>
      <c r="B837" t="s">
        <v>18</v>
      </c>
      <c r="C837" s="4">
        <v>0.2</v>
      </c>
    </row>
    <row r="838" spans="1:3" x14ac:dyDescent="0.25">
      <c r="A838" t="s">
        <v>195</v>
      </c>
      <c r="B838" t="s">
        <v>20</v>
      </c>
      <c r="C838" s="4">
        <v>0.2</v>
      </c>
    </row>
    <row r="839" spans="1:3" x14ac:dyDescent="0.25">
      <c r="A839" t="s">
        <v>195</v>
      </c>
      <c r="B839" t="s">
        <v>22</v>
      </c>
      <c r="C839" s="4">
        <v>0.2</v>
      </c>
    </row>
    <row r="840" spans="1:3" x14ac:dyDescent="0.25">
      <c r="A840" t="s">
        <v>195</v>
      </c>
      <c r="B840" t="s">
        <v>24</v>
      </c>
      <c r="C840" s="4">
        <v>0.2</v>
      </c>
    </row>
    <row r="841" spans="1:3" x14ac:dyDescent="0.25">
      <c r="A841" t="s">
        <v>195</v>
      </c>
      <c r="B841" t="s">
        <v>26</v>
      </c>
      <c r="C841" s="4">
        <v>0.2</v>
      </c>
    </row>
    <row r="842" spans="1:3" x14ac:dyDescent="0.25">
      <c r="A842" t="s">
        <v>195</v>
      </c>
      <c r="B842" t="s">
        <v>28</v>
      </c>
      <c r="C842" s="4">
        <v>0.2</v>
      </c>
    </row>
    <row r="843" spans="1:3" x14ac:dyDescent="0.25">
      <c r="A843" t="s">
        <v>195</v>
      </c>
      <c r="B843" t="s">
        <v>30</v>
      </c>
      <c r="C843" s="4">
        <v>0.2</v>
      </c>
    </row>
    <row r="844" spans="1:3" x14ac:dyDescent="0.25">
      <c r="A844" t="s">
        <v>195</v>
      </c>
      <c r="B844" t="s">
        <v>32</v>
      </c>
      <c r="C844" s="4">
        <v>0.2</v>
      </c>
    </row>
    <row r="845" spans="1:3" x14ac:dyDescent="0.25">
      <c r="A845" t="s">
        <v>195</v>
      </c>
      <c r="B845" t="s">
        <v>34</v>
      </c>
      <c r="C845" s="4">
        <v>0.2</v>
      </c>
    </row>
    <row r="846" spans="1:3" x14ac:dyDescent="0.25">
      <c r="A846" t="s">
        <v>195</v>
      </c>
      <c r="B846" t="s">
        <v>36</v>
      </c>
      <c r="C846" s="4">
        <v>0.2</v>
      </c>
    </row>
    <row r="847" spans="1:3" x14ac:dyDescent="0.25">
      <c r="A847" t="s">
        <v>195</v>
      </c>
      <c r="B847" t="s">
        <v>38</v>
      </c>
      <c r="C847" s="4">
        <v>0.2</v>
      </c>
    </row>
    <row r="848" spans="1:3" x14ac:dyDescent="0.25">
      <c r="A848" t="s">
        <v>195</v>
      </c>
      <c r="B848" t="s">
        <v>40</v>
      </c>
      <c r="C848" s="4">
        <v>0.2</v>
      </c>
    </row>
    <row r="849" spans="1:3" x14ac:dyDescent="0.25">
      <c r="A849" t="s">
        <v>195</v>
      </c>
      <c r="B849" t="s">
        <v>42</v>
      </c>
      <c r="C849" s="4">
        <v>0.2</v>
      </c>
    </row>
    <row r="850" spans="1:3" x14ac:dyDescent="0.25">
      <c r="A850" t="s">
        <v>195</v>
      </c>
      <c r="B850" t="s">
        <v>44</v>
      </c>
      <c r="C850" s="4">
        <v>0.2</v>
      </c>
    </row>
    <row r="851" spans="1:3" x14ac:dyDescent="0.25">
      <c r="A851" t="s">
        <v>195</v>
      </c>
      <c r="B851" t="s">
        <v>46</v>
      </c>
      <c r="C851" s="4">
        <v>0.2</v>
      </c>
    </row>
    <row r="852" spans="1:3" x14ac:dyDescent="0.25">
      <c r="A852" t="s">
        <v>195</v>
      </c>
      <c r="B852" t="s">
        <v>48</v>
      </c>
      <c r="C852" s="4">
        <v>0.2</v>
      </c>
    </row>
    <row r="853" spans="1:3" x14ac:dyDescent="0.25">
      <c r="A853" t="s">
        <v>195</v>
      </c>
      <c r="B853" t="s">
        <v>50</v>
      </c>
      <c r="C853" s="4">
        <v>0.2</v>
      </c>
    </row>
    <row r="854" spans="1:3" x14ac:dyDescent="0.25">
      <c r="A854" t="s">
        <v>195</v>
      </c>
      <c r="B854" t="s">
        <v>52</v>
      </c>
      <c r="C854" s="4">
        <v>0.2</v>
      </c>
    </row>
    <row r="855" spans="1:3" x14ac:dyDescent="0.25">
      <c r="A855" t="s">
        <v>195</v>
      </c>
      <c r="B855" t="s">
        <v>54</v>
      </c>
      <c r="C855" s="4">
        <v>0.2</v>
      </c>
    </row>
    <row r="856" spans="1:3" x14ac:dyDescent="0.25">
      <c r="A856" t="s">
        <v>195</v>
      </c>
      <c r="B856" t="s">
        <v>56</v>
      </c>
      <c r="C856" s="4">
        <v>0.2</v>
      </c>
    </row>
    <row r="857" spans="1:3" x14ac:dyDescent="0.25">
      <c r="A857" t="s">
        <v>195</v>
      </c>
      <c r="B857" t="s">
        <v>58</v>
      </c>
      <c r="C857" s="4">
        <v>0.2</v>
      </c>
    </row>
    <row r="858" spans="1:3" x14ac:dyDescent="0.25">
      <c r="A858" t="s">
        <v>195</v>
      </c>
      <c r="B858" t="s">
        <v>60</v>
      </c>
      <c r="C858" s="4">
        <v>0.2</v>
      </c>
    </row>
    <row r="859" spans="1:3" x14ac:dyDescent="0.25">
      <c r="A859" t="s">
        <v>195</v>
      </c>
      <c r="B859" t="s">
        <v>62</v>
      </c>
      <c r="C859" s="4">
        <v>0.2</v>
      </c>
    </row>
    <row r="860" spans="1:3" x14ac:dyDescent="0.25">
      <c r="A860" t="s">
        <v>195</v>
      </c>
      <c r="B860" t="s">
        <v>64</v>
      </c>
      <c r="C860" s="4">
        <v>0.2</v>
      </c>
    </row>
    <row r="861" spans="1:3" x14ac:dyDescent="0.25">
      <c r="A861" t="s">
        <v>195</v>
      </c>
      <c r="B861" t="s">
        <v>66</v>
      </c>
      <c r="C861" s="4">
        <v>0.2</v>
      </c>
    </row>
    <row r="862" spans="1:3" x14ac:dyDescent="0.25">
      <c r="A862" t="s">
        <v>195</v>
      </c>
      <c r="B862" t="s">
        <v>68</v>
      </c>
      <c r="C862" s="4">
        <v>0.2</v>
      </c>
    </row>
    <row r="863" spans="1:3" x14ac:dyDescent="0.25">
      <c r="A863" t="s">
        <v>195</v>
      </c>
      <c r="B863" t="s">
        <v>70</v>
      </c>
      <c r="C863" s="4">
        <v>0.2</v>
      </c>
    </row>
    <row r="864" spans="1:3" x14ac:dyDescent="0.25">
      <c r="A864" t="s">
        <v>195</v>
      </c>
      <c r="B864" t="s">
        <v>72</v>
      </c>
      <c r="C864" s="4">
        <v>0.2</v>
      </c>
    </row>
    <row r="865" spans="1:3" x14ac:dyDescent="0.25">
      <c r="A865" t="s">
        <v>195</v>
      </c>
      <c r="B865" t="s">
        <v>74</v>
      </c>
      <c r="C865" s="4">
        <v>0.2</v>
      </c>
    </row>
    <row r="866" spans="1:3" x14ac:dyDescent="0.25">
      <c r="A866" t="s">
        <v>195</v>
      </c>
      <c r="B866" t="s">
        <v>76</v>
      </c>
      <c r="C866" s="4">
        <v>0.2</v>
      </c>
    </row>
    <row r="867" spans="1:3" x14ac:dyDescent="0.25">
      <c r="A867" t="s">
        <v>195</v>
      </c>
      <c r="B867" t="s">
        <v>78</v>
      </c>
      <c r="C867" s="4">
        <v>0.2</v>
      </c>
    </row>
    <row r="868" spans="1:3" x14ac:dyDescent="0.25">
      <c r="A868" t="s">
        <v>195</v>
      </c>
      <c r="B868" t="s">
        <v>80</v>
      </c>
      <c r="C868" s="4">
        <v>0.2</v>
      </c>
    </row>
    <row r="869" spans="1:3" x14ac:dyDescent="0.25">
      <c r="A869" t="s">
        <v>195</v>
      </c>
      <c r="B869" t="s">
        <v>82</v>
      </c>
      <c r="C869" s="4">
        <v>0.2</v>
      </c>
    </row>
    <row r="870" spans="1:3" x14ac:dyDescent="0.25">
      <c r="A870" t="s">
        <v>195</v>
      </c>
      <c r="B870" t="s">
        <v>84</v>
      </c>
      <c r="C870" s="4">
        <v>0.2</v>
      </c>
    </row>
    <row r="871" spans="1:3" x14ac:dyDescent="0.25">
      <c r="A871" t="s">
        <v>195</v>
      </c>
      <c r="B871" t="s">
        <v>86</v>
      </c>
      <c r="C871" s="4">
        <v>0.2</v>
      </c>
    </row>
    <row r="872" spans="1:3" x14ac:dyDescent="0.25">
      <c r="A872" t="s">
        <v>195</v>
      </c>
      <c r="B872" t="s">
        <v>88</v>
      </c>
      <c r="C872" s="4">
        <v>0.2</v>
      </c>
    </row>
    <row r="873" spans="1:3" x14ac:dyDescent="0.25">
      <c r="A873" t="s">
        <v>195</v>
      </c>
      <c r="B873" t="s">
        <v>90</v>
      </c>
      <c r="C873" s="4">
        <v>0.2</v>
      </c>
    </row>
    <row r="874" spans="1:3" x14ac:dyDescent="0.25">
      <c r="A874" t="s">
        <v>195</v>
      </c>
      <c r="B874" t="s">
        <v>92</v>
      </c>
      <c r="C874" s="4">
        <v>0.2</v>
      </c>
    </row>
    <row r="875" spans="1:3" x14ac:dyDescent="0.25">
      <c r="A875" t="s">
        <v>195</v>
      </c>
      <c r="B875" t="s">
        <v>94</v>
      </c>
      <c r="C875" s="4">
        <v>0.2</v>
      </c>
    </row>
    <row r="876" spans="1:3" x14ac:dyDescent="0.25">
      <c r="A876" t="s">
        <v>195</v>
      </c>
      <c r="B876" t="s">
        <v>96</v>
      </c>
      <c r="C876" s="4">
        <v>0.2</v>
      </c>
    </row>
    <row r="877" spans="1:3" x14ac:dyDescent="0.25">
      <c r="A877" t="s">
        <v>195</v>
      </c>
      <c r="B877" t="s">
        <v>98</v>
      </c>
      <c r="C877" s="4">
        <v>0.2</v>
      </c>
    </row>
    <row r="878" spans="1:3" x14ac:dyDescent="0.25">
      <c r="A878" t="s">
        <v>195</v>
      </c>
      <c r="B878" t="s">
        <v>100</v>
      </c>
      <c r="C878" s="4">
        <v>0.2</v>
      </c>
    </row>
    <row r="879" spans="1:3" x14ac:dyDescent="0.25">
      <c r="A879" t="s">
        <v>195</v>
      </c>
      <c r="B879" t="s">
        <v>102</v>
      </c>
      <c r="C879" s="4">
        <v>0.2</v>
      </c>
    </row>
    <row r="880" spans="1:3" x14ac:dyDescent="0.25">
      <c r="A880" t="s">
        <v>195</v>
      </c>
      <c r="B880" t="s">
        <v>104</v>
      </c>
      <c r="C880" s="4">
        <v>0.2</v>
      </c>
    </row>
    <row r="881" spans="1:3" x14ac:dyDescent="0.25">
      <c r="A881" t="s">
        <v>195</v>
      </c>
      <c r="B881" t="s">
        <v>106</v>
      </c>
      <c r="C881" s="4">
        <v>0.2</v>
      </c>
    </row>
    <row r="882" spans="1:3" x14ac:dyDescent="0.25">
      <c r="A882" t="s">
        <v>195</v>
      </c>
      <c r="B882" t="s">
        <v>108</v>
      </c>
      <c r="C882" s="4">
        <v>0.2</v>
      </c>
    </row>
    <row r="883" spans="1:3" x14ac:dyDescent="0.25">
      <c r="A883" t="s">
        <v>195</v>
      </c>
      <c r="B883" t="s">
        <v>110</v>
      </c>
      <c r="C883" s="4">
        <v>0.2</v>
      </c>
    </row>
    <row r="884" spans="1:3" x14ac:dyDescent="0.25">
      <c r="A884" t="s">
        <v>195</v>
      </c>
      <c r="B884" t="s">
        <v>112</v>
      </c>
      <c r="C884" s="4">
        <v>0.2</v>
      </c>
    </row>
    <row r="885" spans="1:3" x14ac:dyDescent="0.25">
      <c r="A885" t="s">
        <v>195</v>
      </c>
      <c r="B885" t="s">
        <v>114</v>
      </c>
      <c r="C885" s="4">
        <v>0.2</v>
      </c>
    </row>
    <row r="886" spans="1:3" x14ac:dyDescent="0.25">
      <c r="A886" t="s">
        <v>195</v>
      </c>
      <c r="B886" t="s">
        <v>116</v>
      </c>
      <c r="C886" s="4">
        <v>0.2</v>
      </c>
    </row>
    <row r="887" spans="1:3" x14ac:dyDescent="0.25">
      <c r="A887" t="s">
        <v>167</v>
      </c>
      <c r="B887" t="s">
        <v>0</v>
      </c>
      <c r="C887" s="4">
        <v>0.2</v>
      </c>
    </row>
    <row r="888" spans="1:3" x14ac:dyDescent="0.25">
      <c r="A888" t="s">
        <v>167</v>
      </c>
      <c r="B888" t="s">
        <v>2</v>
      </c>
      <c r="C888" s="4">
        <v>0.2</v>
      </c>
    </row>
    <row r="889" spans="1:3" x14ac:dyDescent="0.25">
      <c r="A889" t="s">
        <v>167</v>
      </c>
      <c r="B889" t="s">
        <v>4</v>
      </c>
      <c r="C889" s="4">
        <v>0.2</v>
      </c>
    </row>
    <row r="890" spans="1:3" x14ac:dyDescent="0.25">
      <c r="A890" t="s">
        <v>167</v>
      </c>
      <c r="B890" t="s">
        <v>6</v>
      </c>
      <c r="C890" s="4">
        <v>0.2</v>
      </c>
    </row>
    <row r="891" spans="1:3" x14ac:dyDescent="0.25">
      <c r="A891" t="s">
        <v>167</v>
      </c>
      <c r="B891" t="s">
        <v>8</v>
      </c>
      <c r="C891" s="4">
        <v>0.2</v>
      </c>
    </row>
    <row r="892" spans="1:3" x14ac:dyDescent="0.25">
      <c r="A892" t="s">
        <v>167</v>
      </c>
      <c r="B892" t="s">
        <v>10</v>
      </c>
      <c r="C892" s="4">
        <v>0.2</v>
      </c>
    </row>
    <row r="893" spans="1:3" x14ac:dyDescent="0.25">
      <c r="A893" t="s">
        <v>167</v>
      </c>
      <c r="B893" t="s">
        <v>12</v>
      </c>
      <c r="C893" s="4">
        <v>0.2</v>
      </c>
    </row>
    <row r="894" spans="1:3" x14ac:dyDescent="0.25">
      <c r="A894" t="s">
        <v>167</v>
      </c>
      <c r="B894" t="s">
        <v>14</v>
      </c>
      <c r="C894" s="4">
        <v>0.2</v>
      </c>
    </row>
    <row r="895" spans="1:3" x14ac:dyDescent="0.25">
      <c r="A895" t="s">
        <v>167</v>
      </c>
      <c r="B895" t="s">
        <v>16</v>
      </c>
      <c r="C895" s="4">
        <v>0.2</v>
      </c>
    </row>
    <row r="896" spans="1:3" x14ac:dyDescent="0.25">
      <c r="A896" t="s">
        <v>167</v>
      </c>
      <c r="B896" t="s">
        <v>18</v>
      </c>
      <c r="C896" s="4">
        <v>0.2</v>
      </c>
    </row>
    <row r="897" spans="1:3" x14ac:dyDescent="0.25">
      <c r="A897" t="s">
        <v>167</v>
      </c>
      <c r="B897" t="s">
        <v>20</v>
      </c>
      <c r="C897" s="4">
        <v>0.2</v>
      </c>
    </row>
    <row r="898" spans="1:3" x14ac:dyDescent="0.25">
      <c r="A898" t="s">
        <v>167</v>
      </c>
      <c r="B898" t="s">
        <v>22</v>
      </c>
      <c r="C898" s="4">
        <v>0.2</v>
      </c>
    </row>
    <row r="899" spans="1:3" x14ac:dyDescent="0.25">
      <c r="A899" t="s">
        <v>167</v>
      </c>
      <c r="B899" t="s">
        <v>24</v>
      </c>
      <c r="C899" s="4">
        <v>0.2</v>
      </c>
    </row>
    <row r="900" spans="1:3" x14ac:dyDescent="0.25">
      <c r="A900" t="s">
        <v>167</v>
      </c>
      <c r="B900" t="s">
        <v>26</v>
      </c>
      <c r="C900" s="4">
        <v>0.2</v>
      </c>
    </row>
    <row r="901" spans="1:3" x14ac:dyDescent="0.25">
      <c r="A901" t="s">
        <v>167</v>
      </c>
      <c r="B901" t="s">
        <v>28</v>
      </c>
      <c r="C901" s="4">
        <v>0.2</v>
      </c>
    </row>
    <row r="902" spans="1:3" x14ac:dyDescent="0.25">
      <c r="A902" t="s">
        <v>167</v>
      </c>
      <c r="B902" t="s">
        <v>30</v>
      </c>
      <c r="C902" s="4">
        <v>0.2</v>
      </c>
    </row>
    <row r="903" spans="1:3" x14ac:dyDescent="0.25">
      <c r="A903" t="s">
        <v>167</v>
      </c>
      <c r="B903" t="s">
        <v>32</v>
      </c>
      <c r="C903" s="4">
        <v>0.2</v>
      </c>
    </row>
    <row r="904" spans="1:3" x14ac:dyDescent="0.25">
      <c r="A904" t="s">
        <v>167</v>
      </c>
      <c r="B904" t="s">
        <v>34</v>
      </c>
      <c r="C904" s="4">
        <v>0.2</v>
      </c>
    </row>
    <row r="905" spans="1:3" x14ac:dyDescent="0.25">
      <c r="A905" t="s">
        <v>167</v>
      </c>
      <c r="B905" t="s">
        <v>36</v>
      </c>
      <c r="C905" s="4">
        <v>0.2</v>
      </c>
    </row>
    <row r="906" spans="1:3" x14ac:dyDescent="0.25">
      <c r="A906" t="s">
        <v>167</v>
      </c>
      <c r="B906" t="s">
        <v>38</v>
      </c>
      <c r="C906" s="4">
        <v>0.2</v>
      </c>
    </row>
    <row r="907" spans="1:3" x14ac:dyDescent="0.25">
      <c r="A907" t="s">
        <v>167</v>
      </c>
      <c r="B907" t="s">
        <v>40</v>
      </c>
      <c r="C907" s="4">
        <v>0.2</v>
      </c>
    </row>
    <row r="908" spans="1:3" x14ac:dyDescent="0.25">
      <c r="A908" t="s">
        <v>167</v>
      </c>
      <c r="B908" t="s">
        <v>42</v>
      </c>
      <c r="C908" s="4">
        <v>0.2</v>
      </c>
    </row>
    <row r="909" spans="1:3" x14ac:dyDescent="0.25">
      <c r="A909" t="s">
        <v>167</v>
      </c>
      <c r="B909" t="s">
        <v>44</v>
      </c>
      <c r="C909" s="4">
        <v>0.2</v>
      </c>
    </row>
    <row r="910" spans="1:3" x14ac:dyDescent="0.25">
      <c r="A910" t="s">
        <v>167</v>
      </c>
      <c r="B910" t="s">
        <v>46</v>
      </c>
      <c r="C910" s="4">
        <v>0.2</v>
      </c>
    </row>
    <row r="911" spans="1:3" x14ac:dyDescent="0.25">
      <c r="A911" t="s">
        <v>167</v>
      </c>
      <c r="B911" t="s">
        <v>48</v>
      </c>
      <c r="C911" s="4">
        <v>0.2</v>
      </c>
    </row>
    <row r="912" spans="1:3" x14ac:dyDescent="0.25">
      <c r="A912" t="s">
        <v>167</v>
      </c>
      <c r="B912" t="s">
        <v>50</v>
      </c>
      <c r="C912" s="4">
        <v>0.2</v>
      </c>
    </row>
    <row r="913" spans="1:3" x14ac:dyDescent="0.25">
      <c r="A913" t="s">
        <v>167</v>
      </c>
      <c r="B913" t="s">
        <v>52</v>
      </c>
      <c r="C913" s="4">
        <v>0.2</v>
      </c>
    </row>
    <row r="914" spans="1:3" x14ac:dyDescent="0.25">
      <c r="A914" t="s">
        <v>167</v>
      </c>
      <c r="B914" t="s">
        <v>54</v>
      </c>
      <c r="C914" s="4">
        <v>0.2</v>
      </c>
    </row>
    <row r="915" spans="1:3" x14ac:dyDescent="0.25">
      <c r="A915" t="s">
        <v>167</v>
      </c>
      <c r="B915" t="s">
        <v>56</v>
      </c>
      <c r="C915" s="4">
        <v>0.2</v>
      </c>
    </row>
    <row r="916" spans="1:3" x14ac:dyDescent="0.25">
      <c r="A916" t="s">
        <v>167</v>
      </c>
      <c r="B916" t="s">
        <v>58</v>
      </c>
      <c r="C916" s="4">
        <v>0.2</v>
      </c>
    </row>
    <row r="917" spans="1:3" x14ac:dyDescent="0.25">
      <c r="A917" t="s">
        <v>167</v>
      </c>
      <c r="B917" t="s">
        <v>60</v>
      </c>
      <c r="C917" s="4">
        <v>0.2</v>
      </c>
    </row>
    <row r="918" spans="1:3" x14ac:dyDescent="0.25">
      <c r="A918" t="s">
        <v>167</v>
      </c>
      <c r="B918" t="s">
        <v>62</v>
      </c>
      <c r="C918" s="4">
        <v>0.2</v>
      </c>
    </row>
    <row r="919" spans="1:3" x14ac:dyDescent="0.25">
      <c r="A919" t="s">
        <v>167</v>
      </c>
      <c r="B919" t="s">
        <v>64</v>
      </c>
      <c r="C919" s="4">
        <v>0.2</v>
      </c>
    </row>
    <row r="920" spans="1:3" x14ac:dyDescent="0.25">
      <c r="A920" t="s">
        <v>167</v>
      </c>
      <c r="B920" t="s">
        <v>66</v>
      </c>
      <c r="C920" s="4">
        <v>0.2</v>
      </c>
    </row>
    <row r="921" spans="1:3" x14ac:dyDescent="0.25">
      <c r="A921" t="s">
        <v>167</v>
      </c>
      <c r="B921" t="s">
        <v>68</v>
      </c>
      <c r="C921" s="4">
        <v>0.05</v>
      </c>
    </row>
    <row r="922" spans="1:3" x14ac:dyDescent="0.25">
      <c r="A922" t="s">
        <v>167</v>
      </c>
      <c r="B922" t="s">
        <v>70</v>
      </c>
      <c r="C922" s="4">
        <v>0.05</v>
      </c>
    </row>
    <row r="923" spans="1:3" x14ac:dyDescent="0.25">
      <c r="A923" t="s">
        <v>167</v>
      </c>
      <c r="B923" t="s">
        <v>72</v>
      </c>
      <c r="C923" s="4">
        <v>0.05</v>
      </c>
    </row>
    <row r="924" spans="1:3" x14ac:dyDescent="0.25">
      <c r="A924" t="s">
        <v>167</v>
      </c>
      <c r="B924" t="s">
        <v>74</v>
      </c>
      <c r="C924" s="4">
        <v>0.2</v>
      </c>
    </row>
    <row r="925" spans="1:3" x14ac:dyDescent="0.25">
      <c r="A925" t="s">
        <v>167</v>
      </c>
      <c r="B925" t="s">
        <v>76</v>
      </c>
      <c r="C925" s="4">
        <v>0.2</v>
      </c>
    </row>
    <row r="926" spans="1:3" x14ac:dyDescent="0.25">
      <c r="A926" t="s">
        <v>167</v>
      </c>
      <c r="B926" t="s">
        <v>78</v>
      </c>
      <c r="C926" s="4">
        <v>0.05</v>
      </c>
    </row>
    <row r="927" spans="1:3" x14ac:dyDescent="0.25">
      <c r="A927" t="s">
        <v>167</v>
      </c>
      <c r="B927" t="s">
        <v>80</v>
      </c>
      <c r="C927" s="4">
        <v>0.2</v>
      </c>
    </row>
    <row r="928" spans="1:3" x14ac:dyDescent="0.25">
      <c r="A928" t="s">
        <v>167</v>
      </c>
      <c r="B928" t="s">
        <v>82</v>
      </c>
      <c r="C928" s="4">
        <v>0.2</v>
      </c>
    </row>
    <row r="929" spans="1:3" x14ac:dyDescent="0.25">
      <c r="A929" t="s">
        <v>167</v>
      </c>
      <c r="B929" t="s">
        <v>84</v>
      </c>
      <c r="C929" s="4">
        <v>0.2</v>
      </c>
    </row>
    <row r="930" spans="1:3" x14ac:dyDescent="0.25">
      <c r="A930" t="s">
        <v>167</v>
      </c>
      <c r="B930" t="s">
        <v>86</v>
      </c>
      <c r="C930" s="4">
        <v>0.2</v>
      </c>
    </row>
    <row r="931" spans="1:3" x14ac:dyDescent="0.25">
      <c r="A931" t="s">
        <v>167</v>
      </c>
      <c r="B931" t="s">
        <v>88</v>
      </c>
      <c r="C931" s="4">
        <v>0.2</v>
      </c>
    </row>
    <row r="932" spans="1:3" x14ac:dyDescent="0.25">
      <c r="A932" t="s">
        <v>167</v>
      </c>
      <c r="B932" t="s">
        <v>90</v>
      </c>
      <c r="C932" s="4">
        <v>0.2</v>
      </c>
    </row>
    <row r="933" spans="1:3" x14ac:dyDescent="0.25">
      <c r="A933" t="s">
        <v>167</v>
      </c>
      <c r="B933" t="s">
        <v>92</v>
      </c>
      <c r="C933" s="4">
        <v>0.2</v>
      </c>
    </row>
    <row r="934" spans="1:3" x14ac:dyDescent="0.25">
      <c r="A934" t="s">
        <v>167</v>
      </c>
      <c r="B934" t="s">
        <v>94</v>
      </c>
      <c r="C934" s="4">
        <v>0.2</v>
      </c>
    </row>
    <row r="935" spans="1:3" x14ac:dyDescent="0.25">
      <c r="A935" t="s">
        <v>167</v>
      </c>
      <c r="B935" t="s">
        <v>96</v>
      </c>
      <c r="C935" s="4">
        <v>0.2</v>
      </c>
    </row>
    <row r="936" spans="1:3" x14ac:dyDescent="0.25">
      <c r="A936" t="s">
        <v>167</v>
      </c>
      <c r="B936" t="s">
        <v>98</v>
      </c>
      <c r="C936" s="4">
        <v>0.2</v>
      </c>
    </row>
    <row r="937" spans="1:3" x14ac:dyDescent="0.25">
      <c r="A937" t="s">
        <v>167</v>
      </c>
      <c r="B937" t="s">
        <v>100</v>
      </c>
      <c r="C937" s="4">
        <v>0.2</v>
      </c>
    </row>
    <row r="938" spans="1:3" x14ac:dyDescent="0.25">
      <c r="A938" t="s">
        <v>167</v>
      </c>
      <c r="B938" t="s">
        <v>102</v>
      </c>
      <c r="C938" s="4">
        <v>0.2</v>
      </c>
    </row>
    <row r="939" spans="1:3" x14ac:dyDescent="0.25">
      <c r="A939" t="s">
        <v>167</v>
      </c>
      <c r="B939" t="s">
        <v>104</v>
      </c>
      <c r="C939" s="4">
        <v>0.2</v>
      </c>
    </row>
    <row r="940" spans="1:3" x14ac:dyDescent="0.25">
      <c r="A940" t="s">
        <v>167</v>
      </c>
      <c r="B940" t="s">
        <v>106</v>
      </c>
      <c r="C940" s="4">
        <v>0.2</v>
      </c>
    </row>
    <row r="941" spans="1:3" x14ac:dyDescent="0.25">
      <c r="A941" t="s">
        <v>167</v>
      </c>
      <c r="B941" t="s">
        <v>108</v>
      </c>
      <c r="C941" s="4">
        <v>0.2</v>
      </c>
    </row>
    <row r="942" spans="1:3" x14ac:dyDescent="0.25">
      <c r="A942" t="s">
        <v>167</v>
      </c>
      <c r="B942" t="s">
        <v>110</v>
      </c>
      <c r="C942" s="4">
        <v>0.2</v>
      </c>
    </row>
    <row r="943" spans="1:3" x14ac:dyDescent="0.25">
      <c r="A943" t="s">
        <v>167</v>
      </c>
      <c r="B943" t="s">
        <v>112</v>
      </c>
      <c r="C943" s="4">
        <v>0.2</v>
      </c>
    </row>
    <row r="944" spans="1:3" x14ac:dyDescent="0.25">
      <c r="A944" t="s">
        <v>167</v>
      </c>
      <c r="B944" t="s">
        <v>114</v>
      </c>
      <c r="C944" s="4">
        <v>0.2</v>
      </c>
    </row>
    <row r="945" spans="1:3" x14ac:dyDescent="0.25">
      <c r="A945" t="s">
        <v>167</v>
      </c>
      <c r="B945" t="s">
        <v>116</v>
      </c>
      <c r="C945" s="4">
        <v>0.2</v>
      </c>
    </row>
    <row r="946" spans="1:3" x14ac:dyDescent="0.25">
      <c r="A946" t="s">
        <v>187</v>
      </c>
      <c r="B946" t="s">
        <v>0</v>
      </c>
      <c r="C946" s="4">
        <v>0.05</v>
      </c>
    </row>
    <row r="947" spans="1:3" x14ac:dyDescent="0.25">
      <c r="A947" t="s">
        <v>187</v>
      </c>
      <c r="B947" t="s">
        <v>2</v>
      </c>
      <c r="C947" s="4">
        <v>0.05</v>
      </c>
    </row>
    <row r="948" spans="1:3" x14ac:dyDescent="0.25">
      <c r="A948" t="s">
        <v>187</v>
      </c>
      <c r="B948" t="s">
        <v>4</v>
      </c>
      <c r="C948" s="4">
        <v>0.05</v>
      </c>
    </row>
    <row r="949" spans="1:3" x14ac:dyDescent="0.25">
      <c r="A949" t="s">
        <v>187</v>
      </c>
      <c r="B949" t="s">
        <v>6</v>
      </c>
      <c r="C949" s="4">
        <v>0.05</v>
      </c>
    </row>
    <row r="950" spans="1:3" x14ac:dyDescent="0.25">
      <c r="A950" t="s">
        <v>187</v>
      </c>
      <c r="B950" t="s">
        <v>8</v>
      </c>
      <c r="C950" s="4">
        <v>0.05</v>
      </c>
    </row>
    <row r="951" spans="1:3" x14ac:dyDescent="0.25">
      <c r="A951" t="s">
        <v>187</v>
      </c>
      <c r="B951" t="s">
        <v>10</v>
      </c>
      <c r="C951" s="4">
        <v>0.05</v>
      </c>
    </row>
    <row r="952" spans="1:3" x14ac:dyDescent="0.25">
      <c r="A952" t="s">
        <v>187</v>
      </c>
      <c r="B952" t="s">
        <v>12</v>
      </c>
      <c r="C952" s="4">
        <v>0.05</v>
      </c>
    </row>
    <row r="953" spans="1:3" x14ac:dyDescent="0.25">
      <c r="A953" t="s">
        <v>187</v>
      </c>
      <c r="B953" t="s">
        <v>14</v>
      </c>
      <c r="C953" s="4">
        <v>0.05</v>
      </c>
    </row>
    <row r="954" spans="1:3" x14ac:dyDescent="0.25">
      <c r="A954" t="s">
        <v>187</v>
      </c>
      <c r="B954" t="s">
        <v>16</v>
      </c>
      <c r="C954" s="4">
        <v>0.05</v>
      </c>
    </row>
    <row r="955" spans="1:3" x14ac:dyDescent="0.25">
      <c r="A955" t="s">
        <v>187</v>
      </c>
      <c r="B955" t="s">
        <v>18</v>
      </c>
      <c r="C955" s="4">
        <v>0.05</v>
      </c>
    </row>
    <row r="956" spans="1:3" x14ac:dyDescent="0.25">
      <c r="A956" t="s">
        <v>187</v>
      </c>
      <c r="B956" t="s">
        <v>20</v>
      </c>
      <c r="C956" s="4">
        <v>0.05</v>
      </c>
    </row>
    <row r="957" spans="1:3" x14ac:dyDescent="0.25">
      <c r="A957" t="s">
        <v>187</v>
      </c>
      <c r="B957" t="s">
        <v>22</v>
      </c>
      <c r="C957" s="4">
        <v>0.05</v>
      </c>
    </row>
    <row r="958" spans="1:3" x14ac:dyDescent="0.25">
      <c r="A958" t="s">
        <v>187</v>
      </c>
      <c r="B958" t="s">
        <v>24</v>
      </c>
      <c r="C958" s="4">
        <v>0.05</v>
      </c>
    </row>
    <row r="959" spans="1:3" x14ac:dyDescent="0.25">
      <c r="A959" t="s">
        <v>187</v>
      </c>
      <c r="B959" t="s">
        <v>26</v>
      </c>
      <c r="C959" s="4">
        <v>0.05</v>
      </c>
    </row>
    <row r="960" spans="1:3" x14ac:dyDescent="0.25">
      <c r="A960" t="s">
        <v>187</v>
      </c>
      <c r="B960" t="s">
        <v>28</v>
      </c>
      <c r="C960" s="4">
        <v>0.05</v>
      </c>
    </row>
    <row r="961" spans="1:3" x14ac:dyDescent="0.25">
      <c r="A961" t="s">
        <v>187</v>
      </c>
      <c r="B961" t="s">
        <v>30</v>
      </c>
      <c r="C961" s="4">
        <v>0.05</v>
      </c>
    </row>
    <row r="962" spans="1:3" x14ac:dyDescent="0.25">
      <c r="A962" t="s">
        <v>187</v>
      </c>
      <c r="B962" t="s">
        <v>32</v>
      </c>
      <c r="C962" s="4">
        <v>0.05</v>
      </c>
    </row>
    <row r="963" spans="1:3" x14ac:dyDescent="0.25">
      <c r="A963" t="s">
        <v>187</v>
      </c>
      <c r="B963" t="s">
        <v>34</v>
      </c>
      <c r="C963" s="4">
        <v>0.05</v>
      </c>
    </row>
    <row r="964" spans="1:3" x14ac:dyDescent="0.25">
      <c r="A964" t="s">
        <v>187</v>
      </c>
      <c r="B964" t="s">
        <v>36</v>
      </c>
      <c r="C964" s="4">
        <v>0.05</v>
      </c>
    </row>
    <row r="965" spans="1:3" x14ac:dyDescent="0.25">
      <c r="A965" t="s">
        <v>187</v>
      </c>
      <c r="B965" t="s">
        <v>38</v>
      </c>
      <c r="C965" s="4">
        <v>0.05</v>
      </c>
    </row>
    <row r="966" spans="1:3" x14ac:dyDescent="0.25">
      <c r="A966" t="s">
        <v>187</v>
      </c>
      <c r="B966" t="s">
        <v>40</v>
      </c>
      <c r="C966" s="4">
        <v>0.05</v>
      </c>
    </row>
    <row r="967" spans="1:3" x14ac:dyDescent="0.25">
      <c r="A967" t="s">
        <v>187</v>
      </c>
      <c r="B967" t="s">
        <v>42</v>
      </c>
      <c r="C967" s="4">
        <v>0.05</v>
      </c>
    </row>
    <row r="968" spans="1:3" x14ac:dyDescent="0.25">
      <c r="A968" t="s">
        <v>187</v>
      </c>
      <c r="B968" t="s">
        <v>44</v>
      </c>
      <c r="C968" s="4">
        <v>0.05</v>
      </c>
    </row>
    <row r="969" spans="1:3" x14ac:dyDescent="0.25">
      <c r="A969" t="s">
        <v>187</v>
      </c>
      <c r="B969" t="s">
        <v>46</v>
      </c>
      <c r="C969" s="4">
        <v>0.05</v>
      </c>
    </row>
    <row r="970" spans="1:3" x14ac:dyDescent="0.25">
      <c r="A970" t="s">
        <v>187</v>
      </c>
      <c r="B970" t="s">
        <v>48</v>
      </c>
      <c r="C970" s="4">
        <v>0.05</v>
      </c>
    </row>
    <row r="971" spans="1:3" x14ac:dyDescent="0.25">
      <c r="A971" t="s">
        <v>187</v>
      </c>
      <c r="B971" t="s">
        <v>50</v>
      </c>
      <c r="C971" s="4">
        <v>0.05</v>
      </c>
    </row>
    <row r="972" spans="1:3" x14ac:dyDescent="0.25">
      <c r="A972" t="s">
        <v>187</v>
      </c>
      <c r="B972" t="s">
        <v>52</v>
      </c>
      <c r="C972" s="4">
        <v>0.05</v>
      </c>
    </row>
    <row r="973" spans="1:3" x14ac:dyDescent="0.25">
      <c r="A973" t="s">
        <v>187</v>
      </c>
      <c r="B973" t="s">
        <v>54</v>
      </c>
      <c r="C973" s="4">
        <v>0.05</v>
      </c>
    </row>
    <row r="974" spans="1:3" x14ac:dyDescent="0.25">
      <c r="A974" t="s">
        <v>187</v>
      </c>
      <c r="B974" t="s">
        <v>56</v>
      </c>
      <c r="C974" s="4">
        <v>0.05</v>
      </c>
    </row>
    <row r="975" spans="1:3" x14ac:dyDescent="0.25">
      <c r="A975" t="s">
        <v>187</v>
      </c>
      <c r="B975" t="s">
        <v>58</v>
      </c>
      <c r="C975" s="4">
        <v>0.05</v>
      </c>
    </row>
    <row r="976" spans="1:3" x14ac:dyDescent="0.25">
      <c r="A976" t="s">
        <v>187</v>
      </c>
      <c r="B976" t="s">
        <v>60</v>
      </c>
      <c r="C976" s="4">
        <v>0.05</v>
      </c>
    </row>
    <row r="977" spans="1:3" x14ac:dyDescent="0.25">
      <c r="A977" t="s">
        <v>187</v>
      </c>
      <c r="B977" t="s">
        <v>62</v>
      </c>
      <c r="C977" s="4">
        <v>0.05</v>
      </c>
    </row>
    <row r="978" spans="1:3" x14ac:dyDescent="0.25">
      <c r="A978" t="s">
        <v>187</v>
      </c>
      <c r="B978" t="s">
        <v>64</v>
      </c>
      <c r="C978" s="4">
        <v>0.05</v>
      </c>
    </row>
    <row r="979" spans="1:3" x14ac:dyDescent="0.25">
      <c r="A979" t="s">
        <v>187</v>
      </c>
      <c r="B979" t="s">
        <v>66</v>
      </c>
      <c r="C979" s="4">
        <v>0.05</v>
      </c>
    </row>
    <row r="980" spans="1:3" x14ac:dyDescent="0.25">
      <c r="A980" t="s">
        <v>187</v>
      </c>
      <c r="B980" t="s">
        <v>68</v>
      </c>
      <c r="C980" s="4">
        <v>0.05</v>
      </c>
    </row>
    <row r="981" spans="1:3" x14ac:dyDescent="0.25">
      <c r="A981" t="s">
        <v>187</v>
      </c>
      <c r="B981" t="s">
        <v>70</v>
      </c>
      <c r="C981" s="4">
        <v>0.05</v>
      </c>
    </row>
    <row r="982" spans="1:3" x14ac:dyDescent="0.25">
      <c r="A982" t="s">
        <v>187</v>
      </c>
      <c r="B982" t="s">
        <v>72</v>
      </c>
      <c r="C982" s="4">
        <v>0.05</v>
      </c>
    </row>
    <row r="983" spans="1:3" x14ac:dyDescent="0.25">
      <c r="A983" t="s">
        <v>187</v>
      </c>
      <c r="B983" t="s">
        <v>74</v>
      </c>
      <c r="C983" s="4">
        <v>0.05</v>
      </c>
    </row>
    <row r="984" spans="1:3" x14ac:dyDescent="0.25">
      <c r="A984" t="s">
        <v>187</v>
      </c>
      <c r="B984" t="s">
        <v>76</v>
      </c>
      <c r="C984" s="4">
        <v>0.05</v>
      </c>
    </row>
    <row r="985" spans="1:3" x14ac:dyDescent="0.25">
      <c r="A985" t="s">
        <v>187</v>
      </c>
      <c r="B985" t="s">
        <v>78</v>
      </c>
      <c r="C985" s="4">
        <v>0.05</v>
      </c>
    </row>
    <row r="986" spans="1:3" x14ac:dyDescent="0.25">
      <c r="A986" t="s">
        <v>187</v>
      </c>
      <c r="B986" t="s">
        <v>80</v>
      </c>
      <c r="C986" s="4">
        <v>0.05</v>
      </c>
    </row>
    <row r="987" spans="1:3" x14ac:dyDescent="0.25">
      <c r="A987" t="s">
        <v>187</v>
      </c>
      <c r="B987" t="s">
        <v>82</v>
      </c>
      <c r="C987" s="4">
        <v>0.05</v>
      </c>
    </row>
    <row r="988" spans="1:3" x14ac:dyDescent="0.25">
      <c r="A988" t="s">
        <v>187</v>
      </c>
      <c r="B988" t="s">
        <v>84</v>
      </c>
      <c r="C988" s="4">
        <v>0.05</v>
      </c>
    </row>
    <row r="989" spans="1:3" x14ac:dyDescent="0.25">
      <c r="A989" t="s">
        <v>187</v>
      </c>
      <c r="B989" t="s">
        <v>86</v>
      </c>
      <c r="C989" s="4">
        <v>0.05</v>
      </c>
    </row>
    <row r="990" spans="1:3" x14ac:dyDescent="0.25">
      <c r="A990" t="s">
        <v>187</v>
      </c>
      <c r="B990" t="s">
        <v>88</v>
      </c>
      <c r="C990" s="4">
        <v>0.05</v>
      </c>
    </row>
    <row r="991" spans="1:3" x14ac:dyDescent="0.25">
      <c r="A991" t="s">
        <v>187</v>
      </c>
      <c r="B991" t="s">
        <v>90</v>
      </c>
      <c r="C991" s="4">
        <v>0.05</v>
      </c>
    </row>
    <row r="992" spans="1:3" x14ac:dyDescent="0.25">
      <c r="A992" t="s">
        <v>187</v>
      </c>
      <c r="B992" t="s">
        <v>92</v>
      </c>
      <c r="C992" s="4">
        <v>0.05</v>
      </c>
    </row>
    <row r="993" spans="1:3" x14ac:dyDescent="0.25">
      <c r="A993" t="s">
        <v>187</v>
      </c>
      <c r="B993" t="s">
        <v>94</v>
      </c>
      <c r="C993" s="4">
        <v>0.05</v>
      </c>
    </row>
    <row r="994" spans="1:3" x14ac:dyDescent="0.25">
      <c r="A994" t="s">
        <v>187</v>
      </c>
      <c r="B994" t="s">
        <v>96</v>
      </c>
      <c r="C994" s="4">
        <v>0.05</v>
      </c>
    </row>
    <row r="995" spans="1:3" x14ac:dyDescent="0.25">
      <c r="A995" t="s">
        <v>187</v>
      </c>
      <c r="B995" t="s">
        <v>98</v>
      </c>
      <c r="C995" s="4">
        <v>0.05</v>
      </c>
    </row>
    <row r="996" spans="1:3" x14ac:dyDescent="0.25">
      <c r="A996" t="s">
        <v>187</v>
      </c>
      <c r="B996" t="s">
        <v>100</v>
      </c>
      <c r="C996" s="4">
        <v>0.05</v>
      </c>
    </row>
    <row r="997" spans="1:3" x14ac:dyDescent="0.25">
      <c r="A997" t="s">
        <v>187</v>
      </c>
      <c r="B997" t="s">
        <v>102</v>
      </c>
      <c r="C997" s="4">
        <v>0.05</v>
      </c>
    </row>
    <row r="998" spans="1:3" x14ac:dyDescent="0.25">
      <c r="A998" t="s">
        <v>187</v>
      </c>
      <c r="B998" t="s">
        <v>104</v>
      </c>
      <c r="C998" s="4">
        <v>0.05</v>
      </c>
    </row>
    <row r="999" spans="1:3" x14ac:dyDescent="0.25">
      <c r="A999" t="s">
        <v>187</v>
      </c>
      <c r="B999" t="s">
        <v>106</v>
      </c>
      <c r="C999" s="4">
        <v>0.05</v>
      </c>
    </row>
    <row r="1000" spans="1:3" x14ac:dyDescent="0.25">
      <c r="A1000" t="s">
        <v>187</v>
      </c>
      <c r="B1000" t="s">
        <v>108</v>
      </c>
      <c r="C1000" s="4">
        <v>0.05</v>
      </c>
    </row>
    <row r="1001" spans="1:3" x14ac:dyDescent="0.25">
      <c r="A1001" t="s">
        <v>187</v>
      </c>
      <c r="B1001" t="s">
        <v>110</v>
      </c>
      <c r="C1001" s="4">
        <v>0.05</v>
      </c>
    </row>
    <row r="1002" spans="1:3" x14ac:dyDescent="0.25">
      <c r="A1002" t="s">
        <v>187</v>
      </c>
      <c r="B1002" t="s">
        <v>112</v>
      </c>
      <c r="C1002" s="4">
        <v>0.05</v>
      </c>
    </row>
    <row r="1003" spans="1:3" x14ac:dyDescent="0.25">
      <c r="A1003" t="s">
        <v>187</v>
      </c>
      <c r="B1003" t="s">
        <v>114</v>
      </c>
      <c r="C1003" s="4">
        <v>0.05</v>
      </c>
    </row>
    <row r="1004" spans="1:3" x14ac:dyDescent="0.25">
      <c r="A1004" t="s">
        <v>187</v>
      </c>
      <c r="B1004" t="s">
        <v>116</v>
      </c>
      <c r="C1004" s="4">
        <v>0.05</v>
      </c>
    </row>
    <row r="1005" spans="1:3" x14ac:dyDescent="0.25">
      <c r="A1005" t="s">
        <v>198</v>
      </c>
      <c r="B1005" t="s">
        <v>0</v>
      </c>
      <c r="C1005" s="4">
        <v>0.15</v>
      </c>
    </row>
    <row r="1006" spans="1:3" x14ac:dyDescent="0.25">
      <c r="A1006" t="s">
        <v>198</v>
      </c>
      <c r="B1006" t="s">
        <v>2</v>
      </c>
      <c r="C1006" s="4">
        <v>0.15</v>
      </c>
    </row>
    <row r="1007" spans="1:3" x14ac:dyDescent="0.25">
      <c r="A1007" t="s">
        <v>198</v>
      </c>
      <c r="B1007" t="s">
        <v>4</v>
      </c>
      <c r="C1007" s="4">
        <v>0.15</v>
      </c>
    </row>
    <row r="1008" spans="1:3" x14ac:dyDescent="0.25">
      <c r="A1008" t="s">
        <v>198</v>
      </c>
      <c r="B1008" t="s">
        <v>6</v>
      </c>
      <c r="C1008" s="4">
        <v>0.15</v>
      </c>
    </row>
    <row r="1009" spans="1:3" x14ac:dyDescent="0.25">
      <c r="A1009" t="s">
        <v>198</v>
      </c>
      <c r="B1009" t="s">
        <v>8</v>
      </c>
      <c r="C1009" s="4">
        <v>0.15</v>
      </c>
    </row>
    <row r="1010" spans="1:3" x14ac:dyDescent="0.25">
      <c r="A1010" t="s">
        <v>198</v>
      </c>
      <c r="B1010" t="s">
        <v>10</v>
      </c>
      <c r="C1010" s="4">
        <v>0.15</v>
      </c>
    </row>
    <row r="1011" spans="1:3" x14ac:dyDescent="0.25">
      <c r="A1011" t="s">
        <v>198</v>
      </c>
      <c r="B1011" t="s">
        <v>12</v>
      </c>
      <c r="C1011" s="4">
        <v>0.15</v>
      </c>
    </row>
    <row r="1012" spans="1:3" x14ac:dyDescent="0.25">
      <c r="A1012" t="s">
        <v>198</v>
      </c>
      <c r="B1012" t="s">
        <v>14</v>
      </c>
      <c r="C1012" s="4">
        <v>0.15</v>
      </c>
    </row>
    <row r="1013" spans="1:3" x14ac:dyDescent="0.25">
      <c r="A1013" t="s">
        <v>198</v>
      </c>
      <c r="B1013" t="s">
        <v>16</v>
      </c>
      <c r="C1013" s="4">
        <v>0.15</v>
      </c>
    </row>
    <row r="1014" spans="1:3" x14ac:dyDescent="0.25">
      <c r="A1014" t="s">
        <v>198</v>
      </c>
      <c r="B1014" t="s">
        <v>18</v>
      </c>
      <c r="C1014" s="4">
        <v>0.15</v>
      </c>
    </row>
    <row r="1015" spans="1:3" x14ac:dyDescent="0.25">
      <c r="A1015" t="s">
        <v>198</v>
      </c>
      <c r="B1015" t="s">
        <v>20</v>
      </c>
      <c r="C1015" s="4">
        <v>0.15</v>
      </c>
    </row>
    <row r="1016" spans="1:3" x14ac:dyDescent="0.25">
      <c r="A1016" t="s">
        <v>198</v>
      </c>
      <c r="B1016" t="s">
        <v>22</v>
      </c>
      <c r="C1016" s="4">
        <v>0.15</v>
      </c>
    </row>
    <row r="1017" spans="1:3" x14ac:dyDescent="0.25">
      <c r="A1017" t="s">
        <v>198</v>
      </c>
      <c r="B1017" t="s">
        <v>24</v>
      </c>
      <c r="C1017" s="4">
        <v>0.15</v>
      </c>
    </row>
    <row r="1018" spans="1:3" x14ac:dyDescent="0.25">
      <c r="A1018" t="s">
        <v>198</v>
      </c>
      <c r="B1018" t="s">
        <v>26</v>
      </c>
      <c r="C1018" s="4">
        <v>0.15</v>
      </c>
    </row>
    <row r="1019" spans="1:3" x14ac:dyDescent="0.25">
      <c r="A1019" t="s">
        <v>198</v>
      </c>
      <c r="B1019" t="s">
        <v>28</v>
      </c>
      <c r="C1019" s="4">
        <v>0.15</v>
      </c>
    </row>
    <row r="1020" spans="1:3" x14ac:dyDescent="0.25">
      <c r="A1020" t="s">
        <v>198</v>
      </c>
      <c r="B1020" t="s">
        <v>30</v>
      </c>
      <c r="C1020" s="4">
        <v>0.15</v>
      </c>
    </row>
    <row r="1021" spans="1:3" x14ac:dyDescent="0.25">
      <c r="A1021" t="s">
        <v>198</v>
      </c>
      <c r="B1021" t="s">
        <v>32</v>
      </c>
      <c r="C1021" s="4">
        <v>0.15</v>
      </c>
    </row>
    <row r="1022" spans="1:3" x14ac:dyDescent="0.25">
      <c r="A1022" t="s">
        <v>198</v>
      </c>
      <c r="B1022" t="s">
        <v>34</v>
      </c>
      <c r="C1022" s="4">
        <v>0.15</v>
      </c>
    </row>
    <row r="1023" spans="1:3" x14ac:dyDescent="0.25">
      <c r="A1023" t="s">
        <v>198</v>
      </c>
      <c r="B1023" t="s">
        <v>36</v>
      </c>
      <c r="C1023" s="4">
        <v>0.15</v>
      </c>
    </row>
    <row r="1024" spans="1:3" x14ac:dyDescent="0.25">
      <c r="A1024" t="s">
        <v>198</v>
      </c>
      <c r="B1024" t="s">
        <v>38</v>
      </c>
      <c r="C1024" s="4">
        <v>0.15</v>
      </c>
    </row>
    <row r="1025" spans="1:3" x14ac:dyDescent="0.25">
      <c r="A1025" t="s">
        <v>198</v>
      </c>
      <c r="B1025" t="s">
        <v>40</v>
      </c>
      <c r="C1025" s="4">
        <v>0.15</v>
      </c>
    </row>
    <row r="1026" spans="1:3" x14ac:dyDescent="0.25">
      <c r="A1026" t="s">
        <v>198</v>
      </c>
      <c r="B1026" t="s">
        <v>42</v>
      </c>
      <c r="C1026" s="4">
        <v>0.15</v>
      </c>
    </row>
    <row r="1027" spans="1:3" x14ac:dyDescent="0.25">
      <c r="A1027" t="s">
        <v>198</v>
      </c>
      <c r="B1027" t="s">
        <v>44</v>
      </c>
      <c r="C1027" s="4">
        <v>0.15</v>
      </c>
    </row>
    <row r="1028" spans="1:3" x14ac:dyDescent="0.25">
      <c r="A1028" t="s">
        <v>198</v>
      </c>
      <c r="B1028" t="s">
        <v>46</v>
      </c>
      <c r="C1028" s="4">
        <v>0.15</v>
      </c>
    </row>
    <row r="1029" spans="1:3" x14ac:dyDescent="0.25">
      <c r="A1029" t="s">
        <v>198</v>
      </c>
      <c r="B1029" t="s">
        <v>48</v>
      </c>
      <c r="C1029" s="4">
        <v>0.15</v>
      </c>
    </row>
    <row r="1030" spans="1:3" x14ac:dyDescent="0.25">
      <c r="A1030" t="s">
        <v>198</v>
      </c>
      <c r="B1030" t="s">
        <v>50</v>
      </c>
      <c r="C1030" s="4">
        <v>0.15</v>
      </c>
    </row>
    <row r="1031" spans="1:3" x14ac:dyDescent="0.25">
      <c r="A1031" t="s">
        <v>198</v>
      </c>
      <c r="B1031" t="s">
        <v>52</v>
      </c>
      <c r="C1031" s="4">
        <v>0.15</v>
      </c>
    </row>
    <row r="1032" spans="1:3" x14ac:dyDescent="0.25">
      <c r="A1032" t="s">
        <v>198</v>
      </c>
      <c r="B1032" t="s">
        <v>54</v>
      </c>
      <c r="C1032" s="4">
        <v>0.15</v>
      </c>
    </row>
    <row r="1033" spans="1:3" x14ac:dyDescent="0.25">
      <c r="A1033" t="s">
        <v>198</v>
      </c>
      <c r="B1033" t="s">
        <v>56</v>
      </c>
      <c r="C1033" s="4">
        <v>0.15</v>
      </c>
    </row>
    <row r="1034" spans="1:3" x14ac:dyDescent="0.25">
      <c r="A1034" t="s">
        <v>198</v>
      </c>
      <c r="B1034" t="s">
        <v>58</v>
      </c>
      <c r="C1034" s="4">
        <v>0.15</v>
      </c>
    </row>
    <row r="1035" spans="1:3" x14ac:dyDescent="0.25">
      <c r="A1035" t="s">
        <v>198</v>
      </c>
      <c r="B1035" t="s">
        <v>60</v>
      </c>
      <c r="C1035" s="4">
        <v>0.15</v>
      </c>
    </row>
    <row r="1036" spans="1:3" x14ac:dyDescent="0.25">
      <c r="A1036" t="s">
        <v>198</v>
      </c>
      <c r="B1036" t="s">
        <v>62</v>
      </c>
      <c r="C1036" s="4">
        <v>0.15</v>
      </c>
    </row>
    <row r="1037" spans="1:3" x14ac:dyDescent="0.25">
      <c r="A1037" t="s">
        <v>198</v>
      </c>
      <c r="B1037" t="s">
        <v>64</v>
      </c>
      <c r="C1037" s="4">
        <v>0.15</v>
      </c>
    </row>
    <row r="1038" spans="1:3" x14ac:dyDescent="0.25">
      <c r="A1038" t="s">
        <v>198</v>
      </c>
      <c r="B1038" t="s">
        <v>66</v>
      </c>
      <c r="C1038" s="4">
        <v>0.15</v>
      </c>
    </row>
    <row r="1039" spans="1:3" x14ac:dyDescent="0.25">
      <c r="A1039" t="s">
        <v>198</v>
      </c>
      <c r="B1039" t="s">
        <v>68</v>
      </c>
      <c r="C1039" s="4">
        <v>0.15</v>
      </c>
    </row>
    <row r="1040" spans="1:3" x14ac:dyDescent="0.25">
      <c r="A1040" t="s">
        <v>198</v>
      </c>
      <c r="B1040" t="s">
        <v>70</v>
      </c>
      <c r="C1040" s="4">
        <v>0.15</v>
      </c>
    </row>
    <row r="1041" spans="1:3" x14ac:dyDescent="0.25">
      <c r="A1041" t="s">
        <v>198</v>
      </c>
      <c r="B1041" t="s">
        <v>72</v>
      </c>
      <c r="C1041" s="4">
        <v>0.15</v>
      </c>
    </row>
    <row r="1042" spans="1:3" x14ac:dyDescent="0.25">
      <c r="A1042" t="s">
        <v>198</v>
      </c>
      <c r="B1042" t="s">
        <v>74</v>
      </c>
      <c r="C1042" s="4">
        <v>0.15</v>
      </c>
    </row>
    <row r="1043" spans="1:3" x14ac:dyDescent="0.25">
      <c r="A1043" t="s">
        <v>198</v>
      </c>
      <c r="B1043" t="s">
        <v>76</v>
      </c>
      <c r="C1043" s="4">
        <v>0.15</v>
      </c>
    </row>
    <row r="1044" spans="1:3" x14ac:dyDescent="0.25">
      <c r="A1044" t="s">
        <v>198</v>
      </c>
      <c r="B1044" t="s">
        <v>78</v>
      </c>
      <c r="C1044" s="4">
        <v>0.15</v>
      </c>
    </row>
    <row r="1045" spans="1:3" x14ac:dyDescent="0.25">
      <c r="A1045" t="s">
        <v>198</v>
      </c>
      <c r="B1045" t="s">
        <v>80</v>
      </c>
      <c r="C1045" s="4">
        <v>0.15</v>
      </c>
    </row>
    <row r="1046" spans="1:3" x14ac:dyDescent="0.25">
      <c r="A1046" t="s">
        <v>198</v>
      </c>
      <c r="B1046" t="s">
        <v>82</v>
      </c>
      <c r="C1046" s="4">
        <v>0.15</v>
      </c>
    </row>
    <row r="1047" spans="1:3" x14ac:dyDescent="0.25">
      <c r="A1047" t="s">
        <v>198</v>
      </c>
      <c r="B1047" t="s">
        <v>84</v>
      </c>
      <c r="C1047" s="4">
        <v>0.15</v>
      </c>
    </row>
    <row r="1048" spans="1:3" x14ac:dyDescent="0.25">
      <c r="A1048" t="s">
        <v>198</v>
      </c>
      <c r="B1048" t="s">
        <v>86</v>
      </c>
      <c r="C1048" s="4">
        <v>0.15</v>
      </c>
    </row>
    <row r="1049" spans="1:3" x14ac:dyDescent="0.25">
      <c r="A1049" t="s">
        <v>198</v>
      </c>
      <c r="B1049" t="s">
        <v>88</v>
      </c>
      <c r="C1049" s="4">
        <v>0.15</v>
      </c>
    </row>
    <row r="1050" spans="1:3" x14ac:dyDescent="0.25">
      <c r="A1050" t="s">
        <v>198</v>
      </c>
      <c r="B1050" t="s">
        <v>90</v>
      </c>
      <c r="C1050" s="4">
        <v>0.15</v>
      </c>
    </row>
    <row r="1051" spans="1:3" x14ac:dyDescent="0.25">
      <c r="A1051" t="s">
        <v>198</v>
      </c>
      <c r="B1051" t="s">
        <v>92</v>
      </c>
      <c r="C1051" s="4">
        <v>0.15</v>
      </c>
    </row>
    <row r="1052" spans="1:3" x14ac:dyDescent="0.25">
      <c r="A1052" t="s">
        <v>198</v>
      </c>
      <c r="B1052" t="s">
        <v>94</v>
      </c>
      <c r="C1052" s="4">
        <v>0.15</v>
      </c>
    </row>
    <row r="1053" spans="1:3" x14ac:dyDescent="0.25">
      <c r="A1053" t="s">
        <v>198</v>
      </c>
      <c r="B1053" t="s">
        <v>96</v>
      </c>
      <c r="C1053" s="4">
        <v>0.15</v>
      </c>
    </row>
    <row r="1054" spans="1:3" x14ac:dyDescent="0.25">
      <c r="A1054" t="s">
        <v>198</v>
      </c>
      <c r="B1054" t="s">
        <v>98</v>
      </c>
      <c r="C1054" s="4">
        <v>0.15</v>
      </c>
    </row>
    <row r="1055" spans="1:3" x14ac:dyDescent="0.25">
      <c r="A1055" t="s">
        <v>198</v>
      </c>
      <c r="B1055" t="s">
        <v>100</v>
      </c>
      <c r="C1055" s="4">
        <v>0.15</v>
      </c>
    </row>
    <row r="1056" spans="1:3" x14ac:dyDescent="0.25">
      <c r="A1056" t="s">
        <v>198</v>
      </c>
      <c r="B1056" t="s">
        <v>102</v>
      </c>
      <c r="C1056" s="4">
        <v>0.15</v>
      </c>
    </row>
    <row r="1057" spans="1:3" x14ac:dyDescent="0.25">
      <c r="A1057" t="s">
        <v>198</v>
      </c>
      <c r="B1057" t="s">
        <v>104</v>
      </c>
      <c r="C1057" s="4">
        <v>0.15</v>
      </c>
    </row>
    <row r="1058" spans="1:3" x14ac:dyDescent="0.25">
      <c r="A1058" t="s">
        <v>198</v>
      </c>
      <c r="B1058" t="s">
        <v>106</v>
      </c>
      <c r="C1058" s="4">
        <v>0.15</v>
      </c>
    </row>
    <row r="1059" spans="1:3" x14ac:dyDescent="0.25">
      <c r="A1059" t="s">
        <v>198</v>
      </c>
      <c r="B1059" t="s">
        <v>108</v>
      </c>
      <c r="C1059" s="4">
        <v>0.15</v>
      </c>
    </row>
    <row r="1060" spans="1:3" x14ac:dyDescent="0.25">
      <c r="A1060" t="s">
        <v>198</v>
      </c>
      <c r="B1060" t="s">
        <v>110</v>
      </c>
      <c r="C1060" s="4">
        <v>0.15</v>
      </c>
    </row>
    <row r="1061" spans="1:3" x14ac:dyDescent="0.25">
      <c r="A1061" t="s">
        <v>198</v>
      </c>
      <c r="B1061" t="s">
        <v>112</v>
      </c>
      <c r="C1061" s="4">
        <v>0.15</v>
      </c>
    </row>
    <row r="1062" spans="1:3" x14ac:dyDescent="0.25">
      <c r="A1062" t="s">
        <v>198</v>
      </c>
      <c r="B1062" t="s">
        <v>114</v>
      </c>
      <c r="C1062" s="4">
        <v>0.15</v>
      </c>
    </row>
    <row r="1063" spans="1:3" x14ac:dyDescent="0.25">
      <c r="A1063" t="s">
        <v>198</v>
      </c>
      <c r="B1063" t="s">
        <v>116</v>
      </c>
      <c r="C1063" s="4">
        <v>0.15</v>
      </c>
    </row>
    <row r="1064" spans="1:3" x14ac:dyDescent="0.25">
      <c r="A1064" t="s">
        <v>197</v>
      </c>
      <c r="B1064" t="s">
        <v>0</v>
      </c>
      <c r="C1064" s="4">
        <v>0.2</v>
      </c>
    </row>
    <row r="1065" spans="1:3" x14ac:dyDescent="0.25">
      <c r="A1065" t="s">
        <v>197</v>
      </c>
      <c r="B1065" t="s">
        <v>2</v>
      </c>
      <c r="C1065" s="4">
        <v>0.2</v>
      </c>
    </row>
    <row r="1066" spans="1:3" x14ac:dyDescent="0.25">
      <c r="A1066" t="s">
        <v>197</v>
      </c>
      <c r="B1066" t="s">
        <v>4</v>
      </c>
      <c r="C1066" s="4">
        <v>0.2</v>
      </c>
    </row>
    <row r="1067" spans="1:3" x14ac:dyDescent="0.25">
      <c r="A1067" t="s">
        <v>197</v>
      </c>
      <c r="B1067" t="s">
        <v>6</v>
      </c>
      <c r="C1067" s="4">
        <v>0.2</v>
      </c>
    </row>
    <row r="1068" spans="1:3" x14ac:dyDescent="0.25">
      <c r="A1068" t="s">
        <v>197</v>
      </c>
      <c r="B1068" t="s">
        <v>8</v>
      </c>
      <c r="C1068" s="4">
        <v>0.2</v>
      </c>
    </row>
    <row r="1069" spans="1:3" x14ac:dyDescent="0.25">
      <c r="A1069" t="s">
        <v>197</v>
      </c>
      <c r="B1069" t="s">
        <v>10</v>
      </c>
      <c r="C1069" s="4">
        <v>0.2</v>
      </c>
    </row>
    <row r="1070" spans="1:3" x14ac:dyDescent="0.25">
      <c r="A1070" t="s">
        <v>197</v>
      </c>
      <c r="B1070" t="s">
        <v>12</v>
      </c>
      <c r="C1070" s="4">
        <v>0.2</v>
      </c>
    </row>
    <row r="1071" spans="1:3" x14ac:dyDescent="0.25">
      <c r="A1071" t="s">
        <v>197</v>
      </c>
      <c r="B1071" t="s">
        <v>14</v>
      </c>
      <c r="C1071" s="4">
        <v>0.2</v>
      </c>
    </row>
    <row r="1072" spans="1:3" x14ac:dyDescent="0.25">
      <c r="A1072" t="s">
        <v>197</v>
      </c>
      <c r="B1072" t="s">
        <v>16</v>
      </c>
      <c r="C1072" s="4">
        <v>0.2</v>
      </c>
    </row>
    <row r="1073" spans="1:3" x14ac:dyDescent="0.25">
      <c r="A1073" t="s">
        <v>197</v>
      </c>
      <c r="B1073" t="s">
        <v>18</v>
      </c>
      <c r="C1073" s="4">
        <v>0.2</v>
      </c>
    </row>
    <row r="1074" spans="1:3" x14ac:dyDescent="0.25">
      <c r="A1074" t="s">
        <v>197</v>
      </c>
      <c r="B1074" t="s">
        <v>20</v>
      </c>
      <c r="C1074" s="4">
        <v>0.2</v>
      </c>
    </row>
    <row r="1075" spans="1:3" x14ac:dyDescent="0.25">
      <c r="A1075" t="s">
        <v>197</v>
      </c>
      <c r="B1075" t="s">
        <v>22</v>
      </c>
      <c r="C1075" s="4">
        <v>0.2</v>
      </c>
    </row>
    <row r="1076" spans="1:3" x14ac:dyDescent="0.25">
      <c r="A1076" t="s">
        <v>197</v>
      </c>
      <c r="B1076" t="s">
        <v>24</v>
      </c>
      <c r="C1076" s="4">
        <v>0.2</v>
      </c>
    </row>
    <row r="1077" spans="1:3" x14ac:dyDescent="0.25">
      <c r="A1077" t="s">
        <v>197</v>
      </c>
      <c r="B1077" t="s">
        <v>26</v>
      </c>
      <c r="C1077" s="4">
        <v>0.2</v>
      </c>
    </row>
    <row r="1078" spans="1:3" x14ac:dyDescent="0.25">
      <c r="A1078" t="s">
        <v>197</v>
      </c>
      <c r="B1078" t="s">
        <v>28</v>
      </c>
      <c r="C1078" s="4">
        <v>0.2</v>
      </c>
    </row>
    <row r="1079" spans="1:3" x14ac:dyDescent="0.25">
      <c r="A1079" t="s">
        <v>197</v>
      </c>
      <c r="B1079" t="s">
        <v>30</v>
      </c>
      <c r="C1079" s="4">
        <v>0.2</v>
      </c>
    </row>
    <row r="1080" spans="1:3" x14ac:dyDescent="0.25">
      <c r="A1080" t="s">
        <v>197</v>
      </c>
      <c r="B1080" t="s">
        <v>32</v>
      </c>
      <c r="C1080" s="4">
        <v>0.2</v>
      </c>
    </row>
    <row r="1081" spans="1:3" x14ac:dyDescent="0.25">
      <c r="A1081" t="s">
        <v>197</v>
      </c>
      <c r="B1081" t="s">
        <v>34</v>
      </c>
      <c r="C1081" s="4">
        <v>0.2</v>
      </c>
    </row>
    <row r="1082" spans="1:3" x14ac:dyDescent="0.25">
      <c r="A1082" t="s">
        <v>197</v>
      </c>
      <c r="B1082" t="s">
        <v>36</v>
      </c>
      <c r="C1082" s="4">
        <v>0.2</v>
      </c>
    </row>
    <row r="1083" spans="1:3" x14ac:dyDescent="0.25">
      <c r="A1083" t="s">
        <v>197</v>
      </c>
      <c r="B1083" t="s">
        <v>38</v>
      </c>
      <c r="C1083" s="4">
        <v>0.2</v>
      </c>
    </row>
    <row r="1084" spans="1:3" x14ac:dyDescent="0.25">
      <c r="A1084" t="s">
        <v>197</v>
      </c>
      <c r="B1084" t="s">
        <v>40</v>
      </c>
      <c r="C1084" s="4">
        <v>0.2</v>
      </c>
    </row>
    <row r="1085" spans="1:3" x14ac:dyDescent="0.25">
      <c r="A1085" t="s">
        <v>197</v>
      </c>
      <c r="B1085" t="s">
        <v>42</v>
      </c>
      <c r="C1085" s="4">
        <v>0.2</v>
      </c>
    </row>
    <row r="1086" spans="1:3" x14ac:dyDescent="0.25">
      <c r="A1086" t="s">
        <v>197</v>
      </c>
      <c r="B1086" t="s">
        <v>44</v>
      </c>
      <c r="C1086" s="4">
        <v>0.2</v>
      </c>
    </row>
    <row r="1087" spans="1:3" x14ac:dyDescent="0.25">
      <c r="A1087" t="s">
        <v>197</v>
      </c>
      <c r="B1087" t="s">
        <v>46</v>
      </c>
      <c r="C1087" s="4">
        <v>0.2</v>
      </c>
    </row>
    <row r="1088" spans="1:3" x14ac:dyDescent="0.25">
      <c r="A1088" t="s">
        <v>197</v>
      </c>
      <c r="B1088" t="s">
        <v>48</v>
      </c>
      <c r="C1088" s="4">
        <v>0.2</v>
      </c>
    </row>
    <row r="1089" spans="1:3" x14ac:dyDescent="0.25">
      <c r="A1089" t="s">
        <v>197</v>
      </c>
      <c r="B1089" t="s">
        <v>50</v>
      </c>
      <c r="C1089" s="4">
        <v>0.2</v>
      </c>
    </row>
    <row r="1090" spans="1:3" x14ac:dyDescent="0.25">
      <c r="A1090" t="s">
        <v>197</v>
      </c>
      <c r="B1090" t="s">
        <v>52</v>
      </c>
      <c r="C1090" s="4">
        <v>0.2</v>
      </c>
    </row>
    <row r="1091" spans="1:3" x14ac:dyDescent="0.25">
      <c r="A1091" t="s">
        <v>197</v>
      </c>
      <c r="B1091" t="s">
        <v>54</v>
      </c>
      <c r="C1091" s="4">
        <v>0.2</v>
      </c>
    </row>
    <row r="1092" spans="1:3" x14ac:dyDescent="0.25">
      <c r="A1092" t="s">
        <v>197</v>
      </c>
      <c r="B1092" t="s">
        <v>56</v>
      </c>
      <c r="C1092" s="4">
        <v>0.2</v>
      </c>
    </row>
    <row r="1093" spans="1:3" x14ac:dyDescent="0.25">
      <c r="A1093" t="s">
        <v>197</v>
      </c>
      <c r="B1093" t="s">
        <v>58</v>
      </c>
      <c r="C1093" s="4">
        <v>0.2</v>
      </c>
    </row>
    <row r="1094" spans="1:3" x14ac:dyDescent="0.25">
      <c r="A1094" t="s">
        <v>197</v>
      </c>
      <c r="B1094" t="s">
        <v>60</v>
      </c>
      <c r="C1094" s="4">
        <v>0.2</v>
      </c>
    </row>
    <row r="1095" spans="1:3" x14ac:dyDescent="0.25">
      <c r="A1095" t="s">
        <v>197</v>
      </c>
      <c r="B1095" t="s">
        <v>62</v>
      </c>
      <c r="C1095" s="4">
        <v>0.2</v>
      </c>
    </row>
    <row r="1096" spans="1:3" x14ac:dyDescent="0.25">
      <c r="A1096" t="s">
        <v>197</v>
      </c>
      <c r="B1096" t="s">
        <v>64</v>
      </c>
      <c r="C1096" s="4">
        <v>0.2</v>
      </c>
    </row>
    <row r="1097" spans="1:3" x14ac:dyDescent="0.25">
      <c r="A1097" t="s">
        <v>197</v>
      </c>
      <c r="B1097" t="s">
        <v>66</v>
      </c>
      <c r="C1097" s="4">
        <v>0.2</v>
      </c>
    </row>
    <row r="1098" spans="1:3" x14ac:dyDescent="0.25">
      <c r="A1098" t="s">
        <v>197</v>
      </c>
      <c r="B1098" t="s">
        <v>68</v>
      </c>
      <c r="C1098" s="4">
        <v>0.2</v>
      </c>
    </row>
    <row r="1099" spans="1:3" x14ac:dyDescent="0.25">
      <c r="A1099" t="s">
        <v>197</v>
      </c>
      <c r="B1099" t="s">
        <v>70</v>
      </c>
      <c r="C1099" s="4">
        <v>0.2</v>
      </c>
    </row>
    <row r="1100" spans="1:3" x14ac:dyDescent="0.25">
      <c r="A1100" t="s">
        <v>197</v>
      </c>
      <c r="B1100" t="s">
        <v>72</v>
      </c>
      <c r="C1100" s="4">
        <v>0.2</v>
      </c>
    </row>
    <row r="1101" spans="1:3" x14ac:dyDescent="0.25">
      <c r="A1101" t="s">
        <v>197</v>
      </c>
      <c r="B1101" t="s">
        <v>74</v>
      </c>
      <c r="C1101" s="4">
        <v>0.2</v>
      </c>
    </row>
    <row r="1102" spans="1:3" x14ac:dyDescent="0.25">
      <c r="A1102" t="s">
        <v>197</v>
      </c>
      <c r="B1102" t="s">
        <v>76</v>
      </c>
      <c r="C1102" s="4">
        <v>0.2</v>
      </c>
    </row>
    <row r="1103" spans="1:3" x14ac:dyDescent="0.25">
      <c r="A1103" t="s">
        <v>197</v>
      </c>
      <c r="B1103" t="s">
        <v>78</v>
      </c>
      <c r="C1103" s="4">
        <v>0.2</v>
      </c>
    </row>
    <row r="1104" spans="1:3" x14ac:dyDescent="0.25">
      <c r="A1104" t="s">
        <v>197</v>
      </c>
      <c r="B1104" t="s">
        <v>80</v>
      </c>
      <c r="C1104" s="4">
        <v>0.2</v>
      </c>
    </row>
    <row r="1105" spans="1:3" x14ac:dyDescent="0.25">
      <c r="A1105" t="s">
        <v>197</v>
      </c>
      <c r="B1105" t="s">
        <v>82</v>
      </c>
      <c r="C1105" s="4">
        <v>0.2</v>
      </c>
    </row>
    <row r="1106" spans="1:3" x14ac:dyDescent="0.25">
      <c r="A1106" t="s">
        <v>197</v>
      </c>
      <c r="B1106" t="s">
        <v>84</v>
      </c>
      <c r="C1106" s="4">
        <v>0.2</v>
      </c>
    </row>
    <row r="1107" spans="1:3" x14ac:dyDescent="0.25">
      <c r="A1107" t="s">
        <v>197</v>
      </c>
      <c r="B1107" t="s">
        <v>86</v>
      </c>
      <c r="C1107" s="4">
        <v>0.2</v>
      </c>
    </row>
    <row r="1108" spans="1:3" x14ac:dyDescent="0.25">
      <c r="A1108" t="s">
        <v>197</v>
      </c>
      <c r="B1108" t="s">
        <v>88</v>
      </c>
      <c r="C1108" s="4">
        <v>0.2</v>
      </c>
    </row>
    <row r="1109" spans="1:3" x14ac:dyDescent="0.25">
      <c r="A1109" t="s">
        <v>197</v>
      </c>
      <c r="B1109" t="s">
        <v>90</v>
      </c>
      <c r="C1109" s="4">
        <v>0.2</v>
      </c>
    </row>
    <row r="1110" spans="1:3" x14ac:dyDescent="0.25">
      <c r="A1110" t="s">
        <v>197</v>
      </c>
      <c r="B1110" t="s">
        <v>92</v>
      </c>
      <c r="C1110" s="4">
        <v>0.2</v>
      </c>
    </row>
    <row r="1111" spans="1:3" x14ac:dyDescent="0.25">
      <c r="A1111" t="s">
        <v>197</v>
      </c>
      <c r="B1111" t="s">
        <v>94</v>
      </c>
      <c r="C1111" s="4">
        <v>0.2</v>
      </c>
    </row>
    <row r="1112" spans="1:3" x14ac:dyDescent="0.25">
      <c r="A1112" t="s">
        <v>197</v>
      </c>
      <c r="B1112" t="s">
        <v>96</v>
      </c>
      <c r="C1112" s="4">
        <v>0.2</v>
      </c>
    </row>
    <row r="1113" spans="1:3" x14ac:dyDescent="0.25">
      <c r="A1113" t="s">
        <v>197</v>
      </c>
      <c r="B1113" t="s">
        <v>98</v>
      </c>
      <c r="C1113" s="4">
        <v>0.2</v>
      </c>
    </row>
    <row r="1114" spans="1:3" x14ac:dyDescent="0.25">
      <c r="A1114" t="s">
        <v>197</v>
      </c>
      <c r="B1114" t="s">
        <v>100</v>
      </c>
      <c r="C1114" s="4">
        <v>0.2</v>
      </c>
    </row>
    <row r="1115" spans="1:3" x14ac:dyDescent="0.25">
      <c r="A1115" t="s">
        <v>197</v>
      </c>
      <c r="B1115" t="s">
        <v>102</v>
      </c>
      <c r="C1115" s="4">
        <v>0.2</v>
      </c>
    </row>
    <row r="1116" spans="1:3" x14ac:dyDescent="0.25">
      <c r="A1116" t="s">
        <v>197</v>
      </c>
      <c r="B1116" t="s">
        <v>104</v>
      </c>
      <c r="C1116" s="4">
        <v>0.2</v>
      </c>
    </row>
    <row r="1117" spans="1:3" x14ac:dyDescent="0.25">
      <c r="A1117" t="s">
        <v>197</v>
      </c>
      <c r="B1117" t="s">
        <v>106</v>
      </c>
      <c r="C1117" s="4">
        <v>0.2</v>
      </c>
    </row>
    <row r="1118" spans="1:3" x14ac:dyDescent="0.25">
      <c r="A1118" t="s">
        <v>197</v>
      </c>
      <c r="B1118" t="s">
        <v>108</v>
      </c>
      <c r="C1118" s="4">
        <v>0.2</v>
      </c>
    </row>
    <row r="1119" spans="1:3" x14ac:dyDescent="0.25">
      <c r="A1119" t="s">
        <v>197</v>
      </c>
      <c r="B1119" t="s">
        <v>110</v>
      </c>
      <c r="C1119" s="4">
        <v>0.2</v>
      </c>
    </row>
    <row r="1120" spans="1:3" x14ac:dyDescent="0.25">
      <c r="A1120" t="s">
        <v>197</v>
      </c>
      <c r="B1120" t="s">
        <v>112</v>
      </c>
      <c r="C1120" s="4">
        <v>0.2</v>
      </c>
    </row>
    <row r="1121" spans="1:3" x14ac:dyDescent="0.25">
      <c r="A1121" t="s">
        <v>197</v>
      </c>
      <c r="B1121" t="s">
        <v>114</v>
      </c>
      <c r="C1121" s="4">
        <v>0.2</v>
      </c>
    </row>
    <row r="1122" spans="1:3" x14ac:dyDescent="0.25">
      <c r="A1122" t="s">
        <v>197</v>
      </c>
      <c r="B1122" t="s">
        <v>116</v>
      </c>
      <c r="C1122" s="4">
        <v>0.2</v>
      </c>
    </row>
    <row r="1123" spans="1:3" x14ac:dyDescent="0.25">
      <c r="A1123" t="s">
        <v>200</v>
      </c>
      <c r="B1123" t="s">
        <v>0</v>
      </c>
      <c r="C1123" s="4">
        <v>0.15</v>
      </c>
    </row>
    <row r="1124" spans="1:3" x14ac:dyDescent="0.25">
      <c r="A1124" t="s">
        <v>200</v>
      </c>
      <c r="B1124" t="s">
        <v>2</v>
      </c>
      <c r="C1124" s="4">
        <v>0.15</v>
      </c>
    </row>
    <row r="1125" spans="1:3" x14ac:dyDescent="0.25">
      <c r="A1125" t="s">
        <v>200</v>
      </c>
      <c r="B1125" t="s">
        <v>4</v>
      </c>
      <c r="C1125" s="4">
        <v>0.15</v>
      </c>
    </row>
    <row r="1126" spans="1:3" x14ac:dyDescent="0.25">
      <c r="A1126" t="s">
        <v>200</v>
      </c>
      <c r="B1126" t="s">
        <v>6</v>
      </c>
      <c r="C1126" s="4">
        <v>0.15</v>
      </c>
    </row>
    <row r="1127" spans="1:3" x14ac:dyDescent="0.25">
      <c r="A1127" t="s">
        <v>200</v>
      </c>
      <c r="B1127" t="s">
        <v>8</v>
      </c>
      <c r="C1127" s="4">
        <v>0.15</v>
      </c>
    </row>
    <row r="1128" spans="1:3" x14ac:dyDescent="0.25">
      <c r="A1128" t="s">
        <v>200</v>
      </c>
      <c r="B1128" t="s">
        <v>10</v>
      </c>
      <c r="C1128" s="4">
        <v>0.15</v>
      </c>
    </row>
    <row r="1129" spans="1:3" x14ac:dyDescent="0.25">
      <c r="A1129" t="s">
        <v>200</v>
      </c>
      <c r="B1129" t="s">
        <v>12</v>
      </c>
      <c r="C1129" s="4">
        <v>0.15</v>
      </c>
    </row>
    <row r="1130" spans="1:3" x14ac:dyDescent="0.25">
      <c r="A1130" t="s">
        <v>200</v>
      </c>
      <c r="B1130" t="s">
        <v>14</v>
      </c>
      <c r="C1130" s="4">
        <v>0.15</v>
      </c>
    </row>
    <row r="1131" spans="1:3" x14ac:dyDescent="0.25">
      <c r="A1131" t="s">
        <v>200</v>
      </c>
      <c r="B1131" t="s">
        <v>16</v>
      </c>
      <c r="C1131" s="4">
        <v>0.15</v>
      </c>
    </row>
    <row r="1132" spans="1:3" x14ac:dyDescent="0.25">
      <c r="A1132" t="s">
        <v>200</v>
      </c>
      <c r="B1132" t="s">
        <v>18</v>
      </c>
      <c r="C1132" s="4">
        <v>0.15</v>
      </c>
    </row>
    <row r="1133" spans="1:3" x14ac:dyDescent="0.25">
      <c r="A1133" t="s">
        <v>200</v>
      </c>
      <c r="B1133" t="s">
        <v>20</v>
      </c>
      <c r="C1133" s="4">
        <v>0.15</v>
      </c>
    </row>
    <row r="1134" spans="1:3" x14ac:dyDescent="0.25">
      <c r="A1134" t="s">
        <v>200</v>
      </c>
      <c r="B1134" t="s">
        <v>22</v>
      </c>
      <c r="C1134" s="4">
        <v>0.15</v>
      </c>
    </row>
    <row r="1135" spans="1:3" x14ac:dyDescent="0.25">
      <c r="A1135" t="s">
        <v>200</v>
      </c>
      <c r="B1135" t="s">
        <v>24</v>
      </c>
      <c r="C1135" s="4">
        <v>0.15</v>
      </c>
    </row>
    <row r="1136" spans="1:3" x14ac:dyDescent="0.25">
      <c r="A1136" t="s">
        <v>200</v>
      </c>
      <c r="B1136" t="s">
        <v>26</v>
      </c>
      <c r="C1136" s="4">
        <v>0.15</v>
      </c>
    </row>
    <row r="1137" spans="1:3" x14ac:dyDescent="0.25">
      <c r="A1137" t="s">
        <v>200</v>
      </c>
      <c r="B1137" t="s">
        <v>28</v>
      </c>
      <c r="C1137" s="4">
        <v>0.15</v>
      </c>
    </row>
    <row r="1138" spans="1:3" x14ac:dyDescent="0.25">
      <c r="A1138" t="s">
        <v>200</v>
      </c>
      <c r="B1138" t="s">
        <v>30</v>
      </c>
      <c r="C1138" s="4">
        <v>0.15</v>
      </c>
    </row>
    <row r="1139" spans="1:3" x14ac:dyDescent="0.25">
      <c r="A1139" t="s">
        <v>200</v>
      </c>
      <c r="B1139" t="s">
        <v>32</v>
      </c>
      <c r="C1139" s="4">
        <v>0.15</v>
      </c>
    </row>
    <row r="1140" spans="1:3" x14ac:dyDescent="0.25">
      <c r="A1140" t="s">
        <v>200</v>
      </c>
      <c r="B1140" t="s">
        <v>34</v>
      </c>
      <c r="C1140" s="4">
        <v>0.15</v>
      </c>
    </row>
    <row r="1141" spans="1:3" x14ac:dyDescent="0.25">
      <c r="A1141" t="s">
        <v>200</v>
      </c>
      <c r="B1141" t="s">
        <v>36</v>
      </c>
      <c r="C1141" s="4">
        <v>0.15</v>
      </c>
    </row>
    <row r="1142" spans="1:3" x14ac:dyDescent="0.25">
      <c r="A1142" t="s">
        <v>200</v>
      </c>
      <c r="B1142" t="s">
        <v>38</v>
      </c>
      <c r="C1142" s="4">
        <v>0.15</v>
      </c>
    </row>
    <row r="1143" spans="1:3" x14ac:dyDescent="0.25">
      <c r="A1143" t="s">
        <v>200</v>
      </c>
      <c r="B1143" t="s">
        <v>40</v>
      </c>
      <c r="C1143" s="4">
        <v>0.15</v>
      </c>
    </row>
    <row r="1144" spans="1:3" x14ac:dyDescent="0.25">
      <c r="A1144" t="s">
        <v>200</v>
      </c>
      <c r="B1144" t="s">
        <v>42</v>
      </c>
      <c r="C1144" s="4">
        <v>0.15</v>
      </c>
    </row>
    <row r="1145" spans="1:3" x14ac:dyDescent="0.25">
      <c r="A1145" t="s">
        <v>200</v>
      </c>
      <c r="B1145" t="s">
        <v>44</v>
      </c>
      <c r="C1145" s="4">
        <v>0.15</v>
      </c>
    </row>
    <row r="1146" spans="1:3" x14ac:dyDescent="0.25">
      <c r="A1146" t="s">
        <v>200</v>
      </c>
      <c r="B1146" t="s">
        <v>46</v>
      </c>
      <c r="C1146" s="4">
        <v>0.15</v>
      </c>
    </row>
    <row r="1147" spans="1:3" x14ac:dyDescent="0.25">
      <c r="A1147" t="s">
        <v>200</v>
      </c>
      <c r="B1147" t="s">
        <v>48</v>
      </c>
      <c r="C1147" s="4">
        <v>0.15</v>
      </c>
    </row>
    <row r="1148" spans="1:3" x14ac:dyDescent="0.25">
      <c r="A1148" t="s">
        <v>200</v>
      </c>
      <c r="B1148" t="s">
        <v>50</v>
      </c>
      <c r="C1148" s="4">
        <v>0.15</v>
      </c>
    </row>
    <row r="1149" spans="1:3" x14ac:dyDescent="0.25">
      <c r="A1149" t="s">
        <v>200</v>
      </c>
      <c r="B1149" t="s">
        <v>52</v>
      </c>
      <c r="C1149" s="4">
        <v>0.15</v>
      </c>
    </row>
    <row r="1150" spans="1:3" x14ac:dyDescent="0.25">
      <c r="A1150" t="s">
        <v>200</v>
      </c>
      <c r="B1150" t="s">
        <v>54</v>
      </c>
      <c r="C1150" s="4">
        <v>0.15</v>
      </c>
    </row>
    <row r="1151" spans="1:3" x14ac:dyDescent="0.25">
      <c r="A1151" t="s">
        <v>200</v>
      </c>
      <c r="B1151" t="s">
        <v>56</v>
      </c>
      <c r="C1151" s="4">
        <v>0.15</v>
      </c>
    </row>
    <row r="1152" spans="1:3" x14ac:dyDescent="0.25">
      <c r="A1152" t="s">
        <v>200</v>
      </c>
      <c r="B1152" t="s">
        <v>58</v>
      </c>
      <c r="C1152" s="4">
        <v>0.15</v>
      </c>
    </row>
    <row r="1153" spans="1:3" x14ac:dyDescent="0.25">
      <c r="A1153" t="s">
        <v>200</v>
      </c>
      <c r="B1153" t="s">
        <v>60</v>
      </c>
      <c r="C1153" s="4">
        <v>0.15</v>
      </c>
    </row>
    <row r="1154" spans="1:3" x14ac:dyDescent="0.25">
      <c r="A1154" t="s">
        <v>200</v>
      </c>
      <c r="B1154" t="s">
        <v>62</v>
      </c>
      <c r="C1154" s="4">
        <v>0.15</v>
      </c>
    </row>
    <row r="1155" spans="1:3" x14ac:dyDescent="0.25">
      <c r="A1155" t="s">
        <v>200</v>
      </c>
      <c r="B1155" t="s">
        <v>64</v>
      </c>
      <c r="C1155" s="4">
        <v>0.15</v>
      </c>
    </row>
    <row r="1156" spans="1:3" x14ac:dyDescent="0.25">
      <c r="A1156" t="s">
        <v>200</v>
      </c>
      <c r="B1156" t="s">
        <v>66</v>
      </c>
      <c r="C1156" s="4">
        <v>0.15</v>
      </c>
    </row>
    <row r="1157" spans="1:3" x14ac:dyDescent="0.25">
      <c r="A1157" t="s">
        <v>200</v>
      </c>
      <c r="B1157" t="s">
        <v>68</v>
      </c>
      <c r="C1157" s="4">
        <v>0.15</v>
      </c>
    </row>
    <row r="1158" spans="1:3" x14ac:dyDescent="0.25">
      <c r="A1158" t="s">
        <v>200</v>
      </c>
      <c r="B1158" t="s">
        <v>70</v>
      </c>
      <c r="C1158" s="4">
        <v>0.15</v>
      </c>
    </row>
    <row r="1159" spans="1:3" x14ac:dyDescent="0.25">
      <c r="A1159" t="s">
        <v>200</v>
      </c>
      <c r="B1159" t="s">
        <v>72</v>
      </c>
      <c r="C1159" s="4">
        <v>0.15</v>
      </c>
    </row>
    <row r="1160" spans="1:3" x14ac:dyDescent="0.25">
      <c r="A1160" t="s">
        <v>200</v>
      </c>
      <c r="B1160" t="s">
        <v>74</v>
      </c>
      <c r="C1160" s="4">
        <v>0.15</v>
      </c>
    </row>
    <row r="1161" spans="1:3" x14ac:dyDescent="0.25">
      <c r="A1161" t="s">
        <v>200</v>
      </c>
      <c r="B1161" t="s">
        <v>76</v>
      </c>
      <c r="C1161" s="4">
        <v>0.15</v>
      </c>
    </row>
    <row r="1162" spans="1:3" x14ac:dyDescent="0.25">
      <c r="A1162" t="s">
        <v>200</v>
      </c>
      <c r="B1162" t="s">
        <v>78</v>
      </c>
      <c r="C1162" s="4">
        <v>0.15</v>
      </c>
    </row>
    <row r="1163" spans="1:3" x14ac:dyDescent="0.25">
      <c r="A1163" t="s">
        <v>200</v>
      </c>
      <c r="B1163" t="s">
        <v>80</v>
      </c>
      <c r="C1163" s="4">
        <v>0.15</v>
      </c>
    </row>
    <row r="1164" spans="1:3" x14ac:dyDescent="0.25">
      <c r="A1164" t="s">
        <v>200</v>
      </c>
      <c r="B1164" t="s">
        <v>82</v>
      </c>
      <c r="C1164" s="4">
        <v>0.15</v>
      </c>
    </row>
    <row r="1165" spans="1:3" x14ac:dyDescent="0.25">
      <c r="A1165" t="s">
        <v>200</v>
      </c>
      <c r="B1165" t="s">
        <v>84</v>
      </c>
      <c r="C1165" s="4">
        <v>0.15</v>
      </c>
    </row>
    <row r="1166" spans="1:3" x14ac:dyDescent="0.25">
      <c r="A1166" t="s">
        <v>200</v>
      </c>
      <c r="B1166" t="s">
        <v>86</v>
      </c>
      <c r="C1166" s="4">
        <v>0.15</v>
      </c>
    </row>
    <row r="1167" spans="1:3" x14ac:dyDescent="0.25">
      <c r="A1167" t="s">
        <v>200</v>
      </c>
      <c r="B1167" t="s">
        <v>88</v>
      </c>
      <c r="C1167" s="4">
        <v>0.15</v>
      </c>
    </row>
    <row r="1168" spans="1:3" x14ac:dyDescent="0.25">
      <c r="A1168" t="s">
        <v>200</v>
      </c>
      <c r="B1168" t="s">
        <v>90</v>
      </c>
      <c r="C1168" s="4">
        <v>0.15</v>
      </c>
    </row>
    <row r="1169" spans="1:3" x14ac:dyDescent="0.25">
      <c r="A1169" t="s">
        <v>200</v>
      </c>
      <c r="B1169" t="s">
        <v>92</v>
      </c>
      <c r="C1169" s="4">
        <v>0.15</v>
      </c>
    </row>
    <row r="1170" spans="1:3" x14ac:dyDescent="0.25">
      <c r="A1170" t="s">
        <v>200</v>
      </c>
      <c r="B1170" t="s">
        <v>94</v>
      </c>
      <c r="C1170" s="4">
        <v>0.15</v>
      </c>
    </row>
    <row r="1171" spans="1:3" x14ac:dyDescent="0.25">
      <c r="A1171" t="s">
        <v>200</v>
      </c>
      <c r="B1171" t="s">
        <v>96</v>
      </c>
      <c r="C1171" s="4">
        <v>0.15</v>
      </c>
    </row>
    <row r="1172" spans="1:3" x14ac:dyDescent="0.25">
      <c r="A1172" t="s">
        <v>200</v>
      </c>
      <c r="B1172" t="s">
        <v>98</v>
      </c>
      <c r="C1172" s="4">
        <v>0.15</v>
      </c>
    </row>
    <row r="1173" spans="1:3" x14ac:dyDescent="0.25">
      <c r="A1173" t="s">
        <v>200</v>
      </c>
      <c r="B1173" t="s">
        <v>100</v>
      </c>
      <c r="C1173" s="4">
        <v>0.15</v>
      </c>
    </row>
    <row r="1174" spans="1:3" x14ac:dyDescent="0.25">
      <c r="A1174" t="s">
        <v>200</v>
      </c>
      <c r="B1174" t="s">
        <v>102</v>
      </c>
      <c r="C1174" s="4">
        <v>0.15</v>
      </c>
    </row>
    <row r="1175" spans="1:3" x14ac:dyDescent="0.25">
      <c r="A1175" t="s">
        <v>200</v>
      </c>
      <c r="B1175" t="s">
        <v>104</v>
      </c>
      <c r="C1175" s="4">
        <v>0.15</v>
      </c>
    </row>
    <row r="1176" spans="1:3" x14ac:dyDescent="0.25">
      <c r="A1176" t="s">
        <v>200</v>
      </c>
      <c r="B1176" t="s">
        <v>106</v>
      </c>
      <c r="C1176" s="4">
        <v>0.15</v>
      </c>
    </row>
    <row r="1177" spans="1:3" x14ac:dyDescent="0.25">
      <c r="A1177" t="s">
        <v>200</v>
      </c>
      <c r="B1177" t="s">
        <v>108</v>
      </c>
      <c r="C1177" s="4">
        <v>0.15</v>
      </c>
    </row>
    <row r="1178" spans="1:3" x14ac:dyDescent="0.25">
      <c r="A1178" t="s">
        <v>200</v>
      </c>
      <c r="B1178" t="s">
        <v>110</v>
      </c>
      <c r="C1178" s="4">
        <v>0.15</v>
      </c>
    </row>
    <row r="1179" spans="1:3" x14ac:dyDescent="0.25">
      <c r="A1179" t="s">
        <v>200</v>
      </c>
      <c r="B1179" t="s">
        <v>112</v>
      </c>
      <c r="C1179" s="4">
        <v>0.15</v>
      </c>
    </row>
    <row r="1180" spans="1:3" x14ac:dyDescent="0.25">
      <c r="A1180" t="s">
        <v>200</v>
      </c>
      <c r="B1180" t="s">
        <v>114</v>
      </c>
      <c r="C1180" s="4">
        <v>0.15</v>
      </c>
    </row>
    <row r="1181" spans="1:3" x14ac:dyDescent="0.25">
      <c r="A1181" t="s">
        <v>200</v>
      </c>
      <c r="B1181" t="s">
        <v>116</v>
      </c>
      <c r="C1181" s="4">
        <v>0.15</v>
      </c>
    </row>
    <row r="1182" spans="1:3" x14ac:dyDescent="0.25">
      <c r="A1182" t="s">
        <v>201</v>
      </c>
      <c r="B1182" t="s">
        <v>0</v>
      </c>
      <c r="C1182" s="4">
        <v>0.15</v>
      </c>
    </row>
    <row r="1183" spans="1:3" x14ac:dyDescent="0.25">
      <c r="A1183" t="s">
        <v>201</v>
      </c>
      <c r="B1183" t="s">
        <v>2</v>
      </c>
      <c r="C1183" s="4">
        <v>0.15</v>
      </c>
    </row>
    <row r="1184" spans="1:3" x14ac:dyDescent="0.25">
      <c r="A1184" t="s">
        <v>201</v>
      </c>
      <c r="B1184" t="s">
        <v>4</v>
      </c>
      <c r="C1184" s="4">
        <v>0.15</v>
      </c>
    </row>
    <row r="1185" spans="1:3" x14ac:dyDescent="0.25">
      <c r="A1185" t="s">
        <v>201</v>
      </c>
      <c r="B1185" t="s">
        <v>6</v>
      </c>
      <c r="C1185" s="4">
        <v>0.15</v>
      </c>
    </row>
    <row r="1186" spans="1:3" x14ac:dyDescent="0.25">
      <c r="A1186" t="s">
        <v>201</v>
      </c>
      <c r="B1186" t="s">
        <v>8</v>
      </c>
      <c r="C1186" s="4">
        <v>0.15</v>
      </c>
    </row>
    <row r="1187" spans="1:3" x14ac:dyDescent="0.25">
      <c r="A1187" t="s">
        <v>201</v>
      </c>
      <c r="B1187" t="s">
        <v>10</v>
      </c>
      <c r="C1187" s="4">
        <v>0.15</v>
      </c>
    </row>
    <row r="1188" spans="1:3" x14ac:dyDescent="0.25">
      <c r="A1188" t="s">
        <v>201</v>
      </c>
      <c r="B1188" t="s">
        <v>12</v>
      </c>
      <c r="C1188" s="4">
        <v>0.15</v>
      </c>
    </row>
    <row r="1189" spans="1:3" x14ac:dyDescent="0.25">
      <c r="A1189" t="s">
        <v>201</v>
      </c>
      <c r="B1189" t="s">
        <v>14</v>
      </c>
      <c r="C1189" s="4">
        <v>0.15</v>
      </c>
    </row>
    <row r="1190" spans="1:3" x14ac:dyDescent="0.25">
      <c r="A1190" t="s">
        <v>201</v>
      </c>
      <c r="B1190" t="s">
        <v>16</v>
      </c>
      <c r="C1190" s="4">
        <v>0.15</v>
      </c>
    </row>
    <row r="1191" spans="1:3" x14ac:dyDescent="0.25">
      <c r="A1191" t="s">
        <v>201</v>
      </c>
      <c r="B1191" t="s">
        <v>18</v>
      </c>
      <c r="C1191" s="4">
        <v>0.15</v>
      </c>
    </row>
    <row r="1192" spans="1:3" x14ac:dyDescent="0.25">
      <c r="A1192" t="s">
        <v>201</v>
      </c>
      <c r="B1192" t="s">
        <v>20</v>
      </c>
      <c r="C1192" s="4">
        <v>0.15</v>
      </c>
    </row>
    <row r="1193" spans="1:3" x14ac:dyDescent="0.25">
      <c r="A1193" t="s">
        <v>201</v>
      </c>
      <c r="B1193" t="s">
        <v>22</v>
      </c>
      <c r="C1193" s="4">
        <v>0.15</v>
      </c>
    </row>
    <row r="1194" spans="1:3" x14ac:dyDescent="0.25">
      <c r="A1194" t="s">
        <v>201</v>
      </c>
      <c r="B1194" t="s">
        <v>24</v>
      </c>
      <c r="C1194" s="4">
        <v>0.15</v>
      </c>
    </row>
    <row r="1195" spans="1:3" x14ac:dyDescent="0.25">
      <c r="A1195" t="s">
        <v>201</v>
      </c>
      <c r="B1195" t="s">
        <v>26</v>
      </c>
      <c r="C1195" s="4">
        <v>0.15</v>
      </c>
    </row>
    <row r="1196" spans="1:3" x14ac:dyDescent="0.25">
      <c r="A1196" t="s">
        <v>201</v>
      </c>
      <c r="B1196" t="s">
        <v>28</v>
      </c>
      <c r="C1196" s="4">
        <v>0.15</v>
      </c>
    </row>
    <row r="1197" spans="1:3" x14ac:dyDescent="0.25">
      <c r="A1197" t="s">
        <v>201</v>
      </c>
      <c r="B1197" t="s">
        <v>30</v>
      </c>
      <c r="C1197" s="4">
        <v>0.15</v>
      </c>
    </row>
    <row r="1198" spans="1:3" x14ac:dyDescent="0.25">
      <c r="A1198" t="s">
        <v>201</v>
      </c>
      <c r="B1198" t="s">
        <v>32</v>
      </c>
      <c r="C1198" s="4">
        <v>0.15</v>
      </c>
    </row>
    <row r="1199" spans="1:3" x14ac:dyDescent="0.25">
      <c r="A1199" t="s">
        <v>201</v>
      </c>
      <c r="B1199" t="s">
        <v>34</v>
      </c>
      <c r="C1199" s="4">
        <v>0.15</v>
      </c>
    </row>
    <row r="1200" spans="1:3" x14ac:dyDescent="0.25">
      <c r="A1200" t="s">
        <v>201</v>
      </c>
      <c r="B1200" t="s">
        <v>36</v>
      </c>
      <c r="C1200" s="4">
        <v>0.15</v>
      </c>
    </row>
    <row r="1201" spans="1:3" x14ac:dyDescent="0.25">
      <c r="A1201" t="s">
        <v>201</v>
      </c>
      <c r="B1201" t="s">
        <v>38</v>
      </c>
      <c r="C1201" s="4">
        <v>0.15</v>
      </c>
    </row>
    <row r="1202" spans="1:3" x14ac:dyDescent="0.25">
      <c r="A1202" t="s">
        <v>201</v>
      </c>
      <c r="B1202" t="s">
        <v>40</v>
      </c>
      <c r="C1202" s="4">
        <v>0.15</v>
      </c>
    </row>
    <row r="1203" spans="1:3" x14ac:dyDescent="0.25">
      <c r="A1203" t="s">
        <v>201</v>
      </c>
      <c r="B1203" t="s">
        <v>42</v>
      </c>
      <c r="C1203" s="4">
        <v>0.15</v>
      </c>
    </row>
    <row r="1204" spans="1:3" x14ac:dyDescent="0.25">
      <c r="A1204" t="s">
        <v>201</v>
      </c>
      <c r="B1204" t="s">
        <v>44</v>
      </c>
      <c r="C1204" s="4">
        <v>0.15</v>
      </c>
    </row>
    <row r="1205" spans="1:3" x14ac:dyDescent="0.25">
      <c r="A1205" t="s">
        <v>201</v>
      </c>
      <c r="B1205" t="s">
        <v>46</v>
      </c>
      <c r="C1205" s="4">
        <v>0.15</v>
      </c>
    </row>
    <row r="1206" spans="1:3" x14ac:dyDescent="0.25">
      <c r="A1206" t="s">
        <v>201</v>
      </c>
      <c r="B1206" t="s">
        <v>48</v>
      </c>
      <c r="C1206" s="4">
        <v>0.15</v>
      </c>
    </row>
    <row r="1207" spans="1:3" x14ac:dyDescent="0.25">
      <c r="A1207" t="s">
        <v>201</v>
      </c>
      <c r="B1207" t="s">
        <v>50</v>
      </c>
      <c r="C1207" s="4">
        <v>0.15</v>
      </c>
    </row>
    <row r="1208" spans="1:3" x14ac:dyDescent="0.25">
      <c r="A1208" t="s">
        <v>201</v>
      </c>
      <c r="B1208" t="s">
        <v>52</v>
      </c>
      <c r="C1208" s="4">
        <v>0.15</v>
      </c>
    </row>
    <row r="1209" spans="1:3" x14ac:dyDescent="0.25">
      <c r="A1209" t="s">
        <v>201</v>
      </c>
      <c r="B1209" t="s">
        <v>54</v>
      </c>
      <c r="C1209" s="4">
        <v>0.15</v>
      </c>
    </row>
    <row r="1210" spans="1:3" x14ac:dyDescent="0.25">
      <c r="A1210" t="s">
        <v>201</v>
      </c>
      <c r="B1210" t="s">
        <v>56</v>
      </c>
      <c r="C1210" s="4">
        <v>0.15</v>
      </c>
    </row>
    <row r="1211" spans="1:3" x14ac:dyDescent="0.25">
      <c r="A1211" t="s">
        <v>201</v>
      </c>
      <c r="B1211" t="s">
        <v>58</v>
      </c>
      <c r="C1211" s="4">
        <v>0.15</v>
      </c>
    </row>
    <row r="1212" spans="1:3" x14ac:dyDescent="0.25">
      <c r="A1212" t="s">
        <v>201</v>
      </c>
      <c r="B1212" t="s">
        <v>60</v>
      </c>
      <c r="C1212" s="4">
        <v>0.15</v>
      </c>
    </row>
    <row r="1213" spans="1:3" x14ac:dyDescent="0.25">
      <c r="A1213" t="s">
        <v>201</v>
      </c>
      <c r="B1213" t="s">
        <v>62</v>
      </c>
      <c r="C1213" s="4">
        <v>0.15</v>
      </c>
    </row>
    <row r="1214" spans="1:3" x14ac:dyDescent="0.25">
      <c r="A1214" t="s">
        <v>201</v>
      </c>
      <c r="B1214" t="s">
        <v>64</v>
      </c>
      <c r="C1214" s="4">
        <v>0.15</v>
      </c>
    </row>
    <row r="1215" spans="1:3" x14ac:dyDescent="0.25">
      <c r="A1215" t="s">
        <v>201</v>
      </c>
      <c r="B1215" t="s">
        <v>66</v>
      </c>
      <c r="C1215" s="4">
        <v>0.15</v>
      </c>
    </row>
    <row r="1216" spans="1:3" x14ac:dyDescent="0.25">
      <c r="A1216" t="s">
        <v>201</v>
      </c>
      <c r="B1216" t="s">
        <v>68</v>
      </c>
      <c r="C1216" s="4">
        <v>0.15</v>
      </c>
    </row>
    <row r="1217" spans="1:3" x14ac:dyDescent="0.25">
      <c r="A1217" t="s">
        <v>201</v>
      </c>
      <c r="B1217" t="s">
        <v>70</v>
      </c>
      <c r="C1217" s="4">
        <v>0.15</v>
      </c>
    </row>
    <row r="1218" spans="1:3" x14ac:dyDescent="0.25">
      <c r="A1218" t="s">
        <v>201</v>
      </c>
      <c r="B1218" t="s">
        <v>72</v>
      </c>
      <c r="C1218" s="4">
        <v>0.15</v>
      </c>
    </row>
    <row r="1219" spans="1:3" x14ac:dyDescent="0.25">
      <c r="A1219" t="s">
        <v>201</v>
      </c>
      <c r="B1219" t="s">
        <v>74</v>
      </c>
      <c r="C1219" s="4">
        <v>0.15</v>
      </c>
    </row>
    <row r="1220" spans="1:3" x14ac:dyDescent="0.25">
      <c r="A1220" t="s">
        <v>201</v>
      </c>
      <c r="B1220" t="s">
        <v>76</v>
      </c>
      <c r="C1220" s="4">
        <v>0.15</v>
      </c>
    </row>
    <row r="1221" spans="1:3" x14ac:dyDescent="0.25">
      <c r="A1221" t="s">
        <v>201</v>
      </c>
      <c r="B1221" t="s">
        <v>78</v>
      </c>
      <c r="C1221" s="4">
        <v>0.15</v>
      </c>
    </row>
    <row r="1222" spans="1:3" x14ac:dyDescent="0.25">
      <c r="A1222" t="s">
        <v>201</v>
      </c>
      <c r="B1222" t="s">
        <v>80</v>
      </c>
      <c r="C1222" s="4">
        <v>0.15</v>
      </c>
    </row>
    <row r="1223" spans="1:3" x14ac:dyDescent="0.25">
      <c r="A1223" t="s">
        <v>201</v>
      </c>
      <c r="B1223" t="s">
        <v>82</v>
      </c>
      <c r="C1223" s="4">
        <v>0.15</v>
      </c>
    </row>
    <row r="1224" spans="1:3" x14ac:dyDescent="0.25">
      <c r="A1224" t="s">
        <v>201</v>
      </c>
      <c r="B1224" t="s">
        <v>84</v>
      </c>
      <c r="C1224" s="4">
        <v>0.15</v>
      </c>
    </row>
    <row r="1225" spans="1:3" x14ac:dyDescent="0.25">
      <c r="A1225" t="s">
        <v>201</v>
      </c>
      <c r="B1225" t="s">
        <v>86</v>
      </c>
      <c r="C1225" s="4">
        <v>0.15</v>
      </c>
    </row>
    <row r="1226" spans="1:3" x14ac:dyDescent="0.25">
      <c r="A1226" t="s">
        <v>201</v>
      </c>
      <c r="B1226" t="s">
        <v>88</v>
      </c>
      <c r="C1226" s="4">
        <v>0.15</v>
      </c>
    </row>
    <row r="1227" spans="1:3" x14ac:dyDescent="0.25">
      <c r="A1227" t="s">
        <v>201</v>
      </c>
      <c r="B1227" t="s">
        <v>90</v>
      </c>
      <c r="C1227" s="4">
        <v>0.15</v>
      </c>
    </row>
    <row r="1228" spans="1:3" x14ac:dyDescent="0.25">
      <c r="A1228" t="s">
        <v>201</v>
      </c>
      <c r="B1228" t="s">
        <v>92</v>
      </c>
      <c r="C1228" s="4">
        <v>0.15</v>
      </c>
    </row>
    <row r="1229" spans="1:3" x14ac:dyDescent="0.25">
      <c r="A1229" t="s">
        <v>201</v>
      </c>
      <c r="B1229" t="s">
        <v>94</v>
      </c>
      <c r="C1229" s="4">
        <v>0.15</v>
      </c>
    </row>
    <row r="1230" spans="1:3" x14ac:dyDescent="0.25">
      <c r="A1230" t="s">
        <v>201</v>
      </c>
      <c r="B1230" t="s">
        <v>96</v>
      </c>
      <c r="C1230" s="4">
        <v>0.15</v>
      </c>
    </row>
    <row r="1231" spans="1:3" x14ac:dyDescent="0.25">
      <c r="A1231" t="s">
        <v>201</v>
      </c>
      <c r="B1231" t="s">
        <v>98</v>
      </c>
      <c r="C1231" s="4">
        <v>0.15</v>
      </c>
    </row>
    <row r="1232" spans="1:3" x14ac:dyDescent="0.25">
      <c r="A1232" t="s">
        <v>201</v>
      </c>
      <c r="B1232" t="s">
        <v>100</v>
      </c>
      <c r="C1232" s="4">
        <v>0.15</v>
      </c>
    </row>
    <row r="1233" spans="1:3" x14ac:dyDescent="0.25">
      <c r="A1233" t="s">
        <v>201</v>
      </c>
      <c r="B1233" t="s">
        <v>102</v>
      </c>
      <c r="C1233" s="4">
        <v>0.15</v>
      </c>
    </row>
    <row r="1234" spans="1:3" x14ac:dyDescent="0.25">
      <c r="A1234" t="s">
        <v>201</v>
      </c>
      <c r="B1234" t="s">
        <v>104</v>
      </c>
      <c r="C1234" s="4">
        <v>0.15</v>
      </c>
    </row>
    <row r="1235" spans="1:3" x14ac:dyDescent="0.25">
      <c r="A1235" t="s">
        <v>201</v>
      </c>
      <c r="B1235" t="s">
        <v>106</v>
      </c>
      <c r="C1235" s="4">
        <v>0.15</v>
      </c>
    </row>
    <row r="1236" spans="1:3" x14ac:dyDescent="0.25">
      <c r="A1236" t="s">
        <v>201</v>
      </c>
      <c r="B1236" t="s">
        <v>108</v>
      </c>
      <c r="C1236" s="4">
        <v>0.15</v>
      </c>
    </row>
    <row r="1237" spans="1:3" x14ac:dyDescent="0.25">
      <c r="A1237" t="s">
        <v>201</v>
      </c>
      <c r="B1237" t="s">
        <v>110</v>
      </c>
      <c r="C1237" s="4">
        <v>0.15</v>
      </c>
    </row>
    <row r="1238" spans="1:3" x14ac:dyDescent="0.25">
      <c r="A1238" t="s">
        <v>201</v>
      </c>
      <c r="B1238" t="s">
        <v>112</v>
      </c>
      <c r="C1238" s="4">
        <v>0.15</v>
      </c>
    </row>
    <row r="1239" spans="1:3" x14ac:dyDescent="0.25">
      <c r="A1239" t="s">
        <v>201</v>
      </c>
      <c r="B1239" t="s">
        <v>114</v>
      </c>
      <c r="C1239" s="4">
        <v>0.15</v>
      </c>
    </row>
    <row r="1240" spans="1:3" x14ac:dyDescent="0.25">
      <c r="A1240" t="s">
        <v>201</v>
      </c>
      <c r="B1240" t="s">
        <v>116</v>
      </c>
      <c r="C1240" s="4">
        <v>0.15</v>
      </c>
    </row>
    <row r="1241" spans="1:3" x14ac:dyDescent="0.25">
      <c r="A1241" t="s">
        <v>202</v>
      </c>
      <c r="B1241" t="s">
        <v>0</v>
      </c>
      <c r="C1241" s="4">
        <v>0.15</v>
      </c>
    </row>
    <row r="1242" spans="1:3" x14ac:dyDescent="0.25">
      <c r="A1242" t="s">
        <v>202</v>
      </c>
      <c r="B1242" t="s">
        <v>2</v>
      </c>
      <c r="C1242" s="4">
        <v>0.15</v>
      </c>
    </row>
    <row r="1243" spans="1:3" x14ac:dyDescent="0.25">
      <c r="A1243" t="s">
        <v>202</v>
      </c>
      <c r="B1243" t="s">
        <v>4</v>
      </c>
      <c r="C1243" s="4">
        <v>0.15</v>
      </c>
    </row>
    <row r="1244" spans="1:3" x14ac:dyDescent="0.25">
      <c r="A1244" t="s">
        <v>202</v>
      </c>
      <c r="B1244" t="s">
        <v>6</v>
      </c>
      <c r="C1244" s="4">
        <v>0.15</v>
      </c>
    </row>
    <row r="1245" spans="1:3" x14ac:dyDescent="0.25">
      <c r="A1245" t="s">
        <v>202</v>
      </c>
      <c r="B1245" t="s">
        <v>8</v>
      </c>
      <c r="C1245" s="4">
        <v>0.15</v>
      </c>
    </row>
    <row r="1246" spans="1:3" x14ac:dyDescent="0.25">
      <c r="A1246" t="s">
        <v>202</v>
      </c>
      <c r="B1246" t="s">
        <v>10</v>
      </c>
      <c r="C1246" s="4">
        <v>0.15</v>
      </c>
    </row>
    <row r="1247" spans="1:3" x14ac:dyDescent="0.25">
      <c r="A1247" t="s">
        <v>202</v>
      </c>
      <c r="B1247" t="s">
        <v>12</v>
      </c>
      <c r="C1247" s="4">
        <v>0.15</v>
      </c>
    </row>
    <row r="1248" spans="1:3" x14ac:dyDescent="0.25">
      <c r="A1248" t="s">
        <v>202</v>
      </c>
      <c r="B1248" t="s">
        <v>14</v>
      </c>
      <c r="C1248" s="4">
        <v>0.15</v>
      </c>
    </row>
    <row r="1249" spans="1:3" x14ac:dyDescent="0.25">
      <c r="A1249" t="s">
        <v>202</v>
      </c>
      <c r="B1249" t="s">
        <v>16</v>
      </c>
      <c r="C1249" s="4">
        <v>0.15</v>
      </c>
    </row>
    <row r="1250" spans="1:3" x14ac:dyDescent="0.25">
      <c r="A1250" t="s">
        <v>202</v>
      </c>
      <c r="B1250" t="s">
        <v>18</v>
      </c>
      <c r="C1250" s="4">
        <v>0.15</v>
      </c>
    </row>
    <row r="1251" spans="1:3" x14ac:dyDescent="0.25">
      <c r="A1251" t="s">
        <v>202</v>
      </c>
      <c r="B1251" t="s">
        <v>20</v>
      </c>
      <c r="C1251" s="4">
        <v>0.15</v>
      </c>
    </row>
    <row r="1252" spans="1:3" x14ac:dyDescent="0.25">
      <c r="A1252" t="s">
        <v>202</v>
      </c>
      <c r="B1252" t="s">
        <v>22</v>
      </c>
      <c r="C1252" s="4">
        <v>0.15</v>
      </c>
    </row>
    <row r="1253" spans="1:3" x14ac:dyDescent="0.25">
      <c r="A1253" t="s">
        <v>202</v>
      </c>
      <c r="B1253" t="s">
        <v>24</v>
      </c>
      <c r="C1253" s="4">
        <v>0.15</v>
      </c>
    </row>
    <row r="1254" spans="1:3" x14ac:dyDescent="0.25">
      <c r="A1254" t="s">
        <v>202</v>
      </c>
      <c r="B1254" t="s">
        <v>26</v>
      </c>
      <c r="C1254" s="4">
        <v>0.15</v>
      </c>
    </row>
    <row r="1255" spans="1:3" x14ac:dyDescent="0.25">
      <c r="A1255" t="s">
        <v>202</v>
      </c>
      <c r="B1255" t="s">
        <v>28</v>
      </c>
      <c r="C1255" s="4">
        <v>0.15</v>
      </c>
    </row>
    <row r="1256" spans="1:3" x14ac:dyDescent="0.25">
      <c r="A1256" t="s">
        <v>202</v>
      </c>
      <c r="B1256" t="s">
        <v>30</v>
      </c>
      <c r="C1256" s="4">
        <v>0.15</v>
      </c>
    </row>
    <row r="1257" spans="1:3" x14ac:dyDescent="0.25">
      <c r="A1257" t="s">
        <v>202</v>
      </c>
      <c r="B1257" t="s">
        <v>32</v>
      </c>
      <c r="C1257" s="4">
        <v>0.15</v>
      </c>
    </row>
    <row r="1258" spans="1:3" x14ac:dyDescent="0.25">
      <c r="A1258" t="s">
        <v>202</v>
      </c>
      <c r="B1258" t="s">
        <v>34</v>
      </c>
      <c r="C1258" s="4">
        <v>0.15</v>
      </c>
    </row>
    <row r="1259" spans="1:3" x14ac:dyDescent="0.25">
      <c r="A1259" t="s">
        <v>202</v>
      </c>
      <c r="B1259" t="s">
        <v>36</v>
      </c>
      <c r="C1259" s="4">
        <v>0.15</v>
      </c>
    </row>
    <row r="1260" spans="1:3" x14ac:dyDescent="0.25">
      <c r="A1260" t="s">
        <v>202</v>
      </c>
      <c r="B1260" t="s">
        <v>38</v>
      </c>
      <c r="C1260" s="4">
        <v>0.15</v>
      </c>
    </row>
    <row r="1261" spans="1:3" x14ac:dyDescent="0.25">
      <c r="A1261" t="s">
        <v>202</v>
      </c>
      <c r="B1261" t="s">
        <v>40</v>
      </c>
      <c r="C1261" s="4">
        <v>0.15</v>
      </c>
    </row>
    <row r="1262" spans="1:3" x14ac:dyDescent="0.25">
      <c r="A1262" t="s">
        <v>202</v>
      </c>
      <c r="B1262" t="s">
        <v>42</v>
      </c>
      <c r="C1262" s="4">
        <v>0.15</v>
      </c>
    </row>
    <row r="1263" spans="1:3" x14ac:dyDescent="0.25">
      <c r="A1263" t="s">
        <v>202</v>
      </c>
      <c r="B1263" t="s">
        <v>44</v>
      </c>
      <c r="C1263" s="4">
        <v>0.15</v>
      </c>
    </row>
    <row r="1264" spans="1:3" x14ac:dyDescent="0.25">
      <c r="A1264" t="s">
        <v>202</v>
      </c>
      <c r="B1264" t="s">
        <v>46</v>
      </c>
      <c r="C1264" s="4">
        <v>0.15</v>
      </c>
    </row>
    <row r="1265" spans="1:3" x14ac:dyDescent="0.25">
      <c r="A1265" t="s">
        <v>202</v>
      </c>
      <c r="B1265" t="s">
        <v>48</v>
      </c>
      <c r="C1265" s="4">
        <v>0.15</v>
      </c>
    </row>
    <row r="1266" spans="1:3" x14ac:dyDescent="0.25">
      <c r="A1266" t="s">
        <v>202</v>
      </c>
      <c r="B1266" t="s">
        <v>50</v>
      </c>
      <c r="C1266" s="4">
        <v>0.15</v>
      </c>
    </row>
    <row r="1267" spans="1:3" x14ac:dyDescent="0.25">
      <c r="A1267" t="s">
        <v>202</v>
      </c>
      <c r="B1267" t="s">
        <v>52</v>
      </c>
      <c r="C1267" s="4">
        <v>0.15</v>
      </c>
    </row>
    <row r="1268" spans="1:3" x14ac:dyDescent="0.25">
      <c r="A1268" t="s">
        <v>202</v>
      </c>
      <c r="B1268" t="s">
        <v>54</v>
      </c>
      <c r="C1268" s="4">
        <v>0.15</v>
      </c>
    </row>
    <row r="1269" spans="1:3" x14ac:dyDescent="0.25">
      <c r="A1269" t="s">
        <v>202</v>
      </c>
      <c r="B1269" t="s">
        <v>56</v>
      </c>
      <c r="C1269" s="4">
        <v>0.15</v>
      </c>
    </row>
    <row r="1270" spans="1:3" x14ac:dyDescent="0.25">
      <c r="A1270" t="s">
        <v>202</v>
      </c>
      <c r="B1270" t="s">
        <v>58</v>
      </c>
      <c r="C1270" s="4">
        <v>0.15</v>
      </c>
    </row>
    <row r="1271" spans="1:3" x14ac:dyDescent="0.25">
      <c r="A1271" t="s">
        <v>202</v>
      </c>
      <c r="B1271" t="s">
        <v>60</v>
      </c>
      <c r="C1271" s="4">
        <v>0.15</v>
      </c>
    </row>
    <row r="1272" spans="1:3" x14ac:dyDescent="0.25">
      <c r="A1272" t="s">
        <v>202</v>
      </c>
      <c r="B1272" t="s">
        <v>62</v>
      </c>
      <c r="C1272" s="4">
        <v>0.15</v>
      </c>
    </row>
    <row r="1273" spans="1:3" x14ac:dyDescent="0.25">
      <c r="A1273" t="s">
        <v>202</v>
      </c>
      <c r="B1273" t="s">
        <v>64</v>
      </c>
      <c r="C1273" s="4">
        <v>0.15</v>
      </c>
    </row>
    <row r="1274" spans="1:3" x14ac:dyDescent="0.25">
      <c r="A1274" t="s">
        <v>202</v>
      </c>
      <c r="B1274" t="s">
        <v>66</v>
      </c>
      <c r="C1274" s="4">
        <v>0.15</v>
      </c>
    </row>
    <row r="1275" spans="1:3" x14ac:dyDescent="0.25">
      <c r="A1275" t="s">
        <v>202</v>
      </c>
      <c r="B1275" t="s">
        <v>68</v>
      </c>
      <c r="C1275" s="4">
        <v>0.15</v>
      </c>
    </row>
    <row r="1276" spans="1:3" x14ac:dyDescent="0.25">
      <c r="A1276" t="s">
        <v>202</v>
      </c>
      <c r="B1276" t="s">
        <v>70</v>
      </c>
      <c r="C1276" s="4">
        <v>0.15</v>
      </c>
    </row>
    <row r="1277" spans="1:3" x14ac:dyDescent="0.25">
      <c r="A1277" t="s">
        <v>202</v>
      </c>
      <c r="B1277" t="s">
        <v>72</v>
      </c>
      <c r="C1277" s="4">
        <v>0.15</v>
      </c>
    </row>
    <row r="1278" spans="1:3" x14ac:dyDescent="0.25">
      <c r="A1278" t="s">
        <v>202</v>
      </c>
      <c r="B1278" t="s">
        <v>74</v>
      </c>
      <c r="C1278" s="4">
        <v>0.15</v>
      </c>
    </row>
    <row r="1279" spans="1:3" x14ac:dyDescent="0.25">
      <c r="A1279" t="s">
        <v>202</v>
      </c>
      <c r="B1279" t="s">
        <v>76</v>
      </c>
      <c r="C1279" s="4">
        <v>0.15</v>
      </c>
    </row>
    <row r="1280" spans="1:3" x14ac:dyDescent="0.25">
      <c r="A1280" t="s">
        <v>202</v>
      </c>
      <c r="B1280" t="s">
        <v>78</v>
      </c>
      <c r="C1280" s="4">
        <v>0.15</v>
      </c>
    </row>
    <row r="1281" spans="1:3" x14ac:dyDescent="0.25">
      <c r="A1281" t="s">
        <v>202</v>
      </c>
      <c r="B1281" t="s">
        <v>80</v>
      </c>
      <c r="C1281" s="4">
        <v>0.15</v>
      </c>
    </row>
    <row r="1282" spans="1:3" x14ac:dyDescent="0.25">
      <c r="A1282" t="s">
        <v>202</v>
      </c>
      <c r="B1282" t="s">
        <v>82</v>
      </c>
      <c r="C1282" s="4">
        <v>0.15</v>
      </c>
    </row>
    <row r="1283" spans="1:3" x14ac:dyDescent="0.25">
      <c r="A1283" t="s">
        <v>202</v>
      </c>
      <c r="B1283" t="s">
        <v>84</v>
      </c>
      <c r="C1283" s="4">
        <v>0.15</v>
      </c>
    </row>
    <row r="1284" spans="1:3" x14ac:dyDescent="0.25">
      <c r="A1284" t="s">
        <v>202</v>
      </c>
      <c r="B1284" t="s">
        <v>86</v>
      </c>
      <c r="C1284" s="4">
        <v>0.15</v>
      </c>
    </row>
    <row r="1285" spans="1:3" x14ac:dyDescent="0.25">
      <c r="A1285" t="s">
        <v>202</v>
      </c>
      <c r="B1285" t="s">
        <v>88</v>
      </c>
      <c r="C1285" s="4">
        <v>0.15</v>
      </c>
    </row>
    <row r="1286" spans="1:3" x14ac:dyDescent="0.25">
      <c r="A1286" t="s">
        <v>202</v>
      </c>
      <c r="B1286" t="s">
        <v>90</v>
      </c>
      <c r="C1286" s="4">
        <v>0.15</v>
      </c>
    </row>
    <row r="1287" spans="1:3" x14ac:dyDescent="0.25">
      <c r="A1287" t="s">
        <v>202</v>
      </c>
      <c r="B1287" t="s">
        <v>92</v>
      </c>
      <c r="C1287" s="4">
        <v>0.15</v>
      </c>
    </row>
    <row r="1288" spans="1:3" x14ac:dyDescent="0.25">
      <c r="A1288" t="s">
        <v>202</v>
      </c>
      <c r="B1288" t="s">
        <v>94</v>
      </c>
      <c r="C1288" s="4">
        <v>0.15</v>
      </c>
    </row>
    <row r="1289" spans="1:3" x14ac:dyDescent="0.25">
      <c r="A1289" t="s">
        <v>202</v>
      </c>
      <c r="B1289" t="s">
        <v>96</v>
      </c>
      <c r="C1289" s="4">
        <v>0.15</v>
      </c>
    </row>
    <row r="1290" spans="1:3" x14ac:dyDescent="0.25">
      <c r="A1290" t="s">
        <v>202</v>
      </c>
      <c r="B1290" t="s">
        <v>98</v>
      </c>
      <c r="C1290" s="4">
        <v>0.15</v>
      </c>
    </row>
    <row r="1291" spans="1:3" x14ac:dyDescent="0.25">
      <c r="A1291" t="s">
        <v>202</v>
      </c>
      <c r="B1291" t="s">
        <v>100</v>
      </c>
      <c r="C1291" s="4">
        <v>0.15</v>
      </c>
    </row>
    <row r="1292" spans="1:3" x14ac:dyDescent="0.25">
      <c r="A1292" t="s">
        <v>202</v>
      </c>
      <c r="B1292" t="s">
        <v>102</v>
      </c>
      <c r="C1292" s="4">
        <v>0.15</v>
      </c>
    </row>
    <row r="1293" spans="1:3" x14ac:dyDescent="0.25">
      <c r="A1293" t="s">
        <v>202</v>
      </c>
      <c r="B1293" t="s">
        <v>104</v>
      </c>
      <c r="C1293" s="4">
        <v>0.15</v>
      </c>
    </row>
    <row r="1294" spans="1:3" x14ac:dyDescent="0.25">
      <c r="A1294" t="s">
        <v>202</v>
      </c>
      <c r="B1294" t="s">
        <v>106</v>
      </c>
      <c r="C1294" s="4">
        <v>0.15</v>
      </c>
    </row>
    <row r="1295" spans="1:3" x14ac:dyDescent="0.25">
      <c r="A1295" t="s">
        <v>202</v>
      </c>
      <c r="B1295" t="s">
        <v>108</v>
      </c>
      <c r="C1295" s="4">
        <v>0.15</v>
      </c>
    </row>
    <row r="1296" spans="1:3" x14ac:dyDescent="0.25">
      <c r="A1296" t="s">
        <v>202</v>
      </c>
      <c r="B1296" t="s">
        <v>110</v>
      </c>
      <c r="C1296" s="4">
        <v>0.15</v>
      </c>
    </row>
    <row r="1297" spans="1:3" x14ac:dyDescent="0.25">
      <c r="A1297" t="s">
        <v>202</v>
      </c>
      <c r="B1297" t="s">
        <v>112</v>
      </c>
      <c r="C1297" s="4">
        <v>0.15</v>
      </c>
    </row>
    <row r="1298" spans="1:3" x14ac:dyDescent="0.25">
      <c r="A1298" t="s">
        <v>202</v>
      </c>
      <c r="B1298" t="s">
        <v>114</v>
      </c>
      <c r="C1298" s="4">
        <v>0.15</v>
      </c>
    </row>
    <row r="1299" spans="1:3" x14ac:dyDescent="0.25">
      <c r="A1299" t="s">
        <v>202</v>
      </c>
      <c r="B1299" t="s">
        <v>116</v>
      </c>
      <c r="C1299" s="4">
        <v>0.15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381F-91DA-4110-AB7B-AA2DFBC4D085}">
  <dimension ref="A1:B6"/>
  <sheetViews>
    <sheetView workbookViewId="0">
      <selection activeCell="B1" sqref="B1:B6"/>
    </sheetView>
  </sheetViews>
  <sheetFormatPr defaultRowHeight="15" x14ac:dyDescent="0.25"/>
  <sheetData>
    <row r="1" spans="1:2" x14ac:dyDescent="0.25">
      <c r="A1" t="s">
        <v>203</v>
      </c>
      <c r="B1" t="s">
        <v>204</v>
      </c>
    </row>
    <row r="2" spans="1:2" x14ac:dyDescent="0.25">
      <c r="B2" t="s">
        <v>205</v>
      </c>
    </row>
    <row r="3" spans="1:2" x14ac:dyDescent="0.25">
      <c r="B3" t="s">
        <v>206</v>
      </c>
    </row>
    <row r="4" spans="1:2" x14ac:dyDescent="0.25">
      <c r="B4" t="s">
        <v>207</v>
      </c>
    </row>
    <row r="5" spans="1:2" x14ac:dyDescent="0.25">
      <c r="B5" t="s">
        <v>208</v>
      </c>
    </row>
    <row r="6" spans="1:2" x14ac:dyDescent="0.25">
      <c r="B6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decay</vt:lpstr>
      <vt:lpstr>sigma</vt:lpstr>
      <vt:lpstr>decay_nem_eu</vt:lpstr>
      <vt:lpstr>icebergcost</vt:lpstr>
      <vt:lpstr>vat_rate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Boitier</dc:creator>
  <cp:lastModifiedBy>Baptiste Boitier</cp:lastModifiedBy>
  <dcterms:created xsi:type="dcterms:W3CDTF">2025-02-06T14:03:12Z</dcterms:created>
  <dcterms:modified xsi:type="dcterms:W3CDTF">2025-10-02T11:28:00Z</dcterms:modified>
</cp:coreProperties>
</file>