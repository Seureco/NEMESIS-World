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Work\DIAMOND\NeW\Data_Raw\Others\"/>
    </mc:Choice>
  </mc:AlternateContent>
  <xr:revisionPtr revIDLastSave="0" documentId="13_ncr:1_{9CFCF62D-BF4A-41D0-8FFB-72DB948CD2E2}" xr6:coauthVersionLast="47" xr6:coauthVersionMax="47" xr10:uidLastSave="{00000000-0000-0000-0000-000000000000}"/>
  <bookViews>
    <workbookView xWindow="-120" yWindow="-120" windowWidth="29040" windowHeight="15720" xr2:uid="{00000000-000D-0000-FFFF-FFFF00000000}"/>
  </bookViews>
  <sheets>
    <sheet name="rzrl" sheetId="3" r:id="rId1"/>
    <sheet name="Overview" sheetId="2" r:id="rId2"/>
    <sheet name="Table" sheetId="1"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D2" i="3"/>
  <c r="E2" i="3"/>
  <c r="F2" i="3"/>
  <c r="G2" i="3"/>
  <c r="H2" i="3"/>
  <c r="I2" i="3"/>
  <c r="J2" i="3"/>
  <c r="K2" i="3"/>
  <c r="C3" i="3"/>
  <c r="C14" i="3" s="1"/>
  <c r="D3" i="3"/>
  <c r="D14" i="3" s="1"/>
  <c r="E3" i="3"/>
  <c r="E14" i="3" s="1"/>
  <c r="F3" i="3"/>
  <c r="F14" i="3" s="1"/>
  <c r="G3" i="3"/>
  <c r="G14" i="3" s="1"/>
  <c r="H3" i="3"/>
  <c r="H14" i="3" s="1"/>
  <c r="I3" i="3"/>
  <c r="I14" i="3" s="1"/>
  <c r="J3" i="3"/>
  <c r="J14" i="3" s="1"/>
  <c r="K3" i="3"/>
  <c r="K14" i="3" s="1"/>
  <c r="C4" i="3"/>
  <c r="D4" i="3"/>
  <c r="E4" i="3"/>
  <c r="F4" i="3"/>
  <c r="G4" i="3"/>
  <c r="H4" i="3"/>
  <c r="I4" i="3"/>
  <c r="J4" i="3"/>
  <c r="K4" i="3"/>
  <c r="F5" i="3"/>
  <c r="E5" i="3" s="1"/>
  <c r="D5" i="3" s="1"/>
  <c r="C5" i="3" s="1"/>
  <c r="B5" i="3" s="1"/>
  <c r="G5" i="3"/>
  <c r="H5" i="3"/>
  <c r="I5" i="3"/>
  <c r="J5" i="3"/>
  <c r="K5" i="3"/>
  <c r="C6" i="3"/>
  <c r="D6" i="3"/>
  <c r="E6" i="3"/>
  <c r="F6" i="3"/>
  <c r="G6" i="3"/>
  <c r="H6" i="3"/>
  <c r="I6" i="3"/>
  <c r="J6" i="3"/>
  <c r="K6" i="3"/>
  <c r="C7" i="3"/>
  <c r="D7" i="3"/>
  <c r="E7" i="3"/>
  <c r="F7" i="3"/>
  <c r="G7" i="3"/>
  <c r="H7" i="3"/>
  <c r="I7" i="3"/>
  <c r="J7" i="3"/>
  <c r="K7" i="3"/>
  <c r="C8" i="3"/>
  <c r="D8" i="3"/>
  <c r="E8" i="3"/>
  <c r="F8" i="3"/>
  <c r="G8" i="3"/>
  <c r="H8" i="3"/>
  <c r="I8" i="3"/>
  <c r="J8" i="3"/>
  <c r="K8" i="3"/>
  <c r="D9" i="3"/>
  <c r="C9" i="3" s="1"/>
  <c r="B9" i="3" s="1"/>
  <c r="E9" i="3"/>
  <c r="F9" i="3"/>
  <c r="G9" i="3"/>
  <c r="H9" i="3"/>
  <c r="I9" i="3"/>
  <c r="J9" i="3"/>
  <c r="K9" i="3"/>
  <c r="D10" i="3"/>
  <c r="C10" i="3" s="1"/>
  <c r="B10" i="3" s="1"/>
  <c r="E10" i="3"/>
  <c r="F10" i="3"/>
  <c r="G10" i="3"/>
  <c r="H10" i="3"/>
  <c r="I10" i="3"/>
  <c r="J10" i="3"/>
  <c r="K10" i="3"/>
  <c r="C11" i="3"/>
  <c r="D11" i="3"/>
  <c r="E11" i="3"/>
  <c r="F11" i="3"/>
  <c r="G11" i="3"/>
  <c r="H11" i="3"/>
  <c r="I11" i="3"/>
  <c r="J11" i="3"/>
  <c r="K11" i="3"/>
  <c r="C12" i="3"/>
  <c r="D12" i="3"/>
  <c r="E12" i="3"/>
  <c r="F12" i="3"/>
  <c r="G12" i="3"/>
  <c r="H12" i="3"/>
  <c r="I12" i="3"/>
  <c r="J12" i="3"/>
  <c r="K12" i="3"/>
  <c r="C13" i="3"/>
  <c r="D13" i="3"/>
  <c r="E13" i="3"/>
  <c r="F13" i="3"/>
  <c r="G13" i="3"/>
  <c r="H13" i="3"/>
  <c r="I13" i="3"/>
  <c r="J13" i="3"/>
  <c r="K13" i="3"/>
  <c r="C15" i="3"/>
  <c r="D15" i="3"/>
  <c r="E15" i="3"/>
  <c r="F15" i="3"/>
  <c r="G15" i="3"/>
  <c r="H15" i="3"/>
  <c r="I15" i="3"/>
  <c r="J15" i="3"/>
  <c r="K15" i="3"/>
  <c r="C16" i="3"/>
  <c r="D16" i="3"/>
  <c r="E16" i="3"/>
  <c r="F16" i="3"/>
  <c r="G16" i="3"/>
  <c r="H16" i="3"/>
  <c r="I16" i="3"/>
  <c r="J16" i="3" s="1"/>
  <c r="K16" i="3" s="1"/>
  <c r="C17" i="3"/>
  <c r="D17" i="3"/>
  <c r="E17" i="3"/>
  <c r="F17" i="3"/>
  <c r="G17" i="3"/>
  <c r="H17" i="3"/>
  <c r="I17" i="3"/>
  <c r="J17" i="3"/>
  <c r="K17" i="3"/>
  <c r="C18" i="3"/>
  <c r="D18" i="3"/>
  <c r="E18" i="3"/>
  <c r="F18" i="3"/>
  <c r="G18" i="3"/>
  <c r="H18" i="3"/>
  <c r="I18" i="3"/>
  <c r="J18" i="3"/>
  <c r="K18" i="3"/>
  <c r="C19" i="3"/>
  <c r="D19" i="3"/>
  <c r="E19" i="3"/>
  <c r="F19" i="3"/>
  <c r="G19" i="3"/>
  <c r="H19" i="3"/>
  <c r="I19" i="3"/>
  <c r="J19" i="3"/>
  <c r="K19" i="3"/>
  <c r="C20" i="3"/>
  <c r="D20" i="3"/>
  <c r="E20" i="3"/>
  <c r="F20" i="3"/>
  <c r="G20" i="3"/>
  <c r="H20" i="3"/>
  <c r="I20" i="3"/>
  <c r="J20" i="3"/>
  <c r="K20" i="3"/>
  <c r="C21" i="3"/>
  <c r="D21" i="3"/>
  <c r="E21" i="3"/>
  <c r="F21" i="3"/>
  <c r="G21" i="3"/>
  <c r="H21" i="3"/>
  <c r="I21" i="3"/>
  <c r="J21" i="3"/>
  <c r="K21" i="3"/>
  <c r="C22" i="3"/>
  <c r="D22" i="3"/>
  <c r="E22" i="3"/>
  <c r="F22" i="3"/>
  <c r="G22" i="3"/>
  <c r="H22" i="3"/>
  <c r="I22" i="3"/>
  <c r="J22" i="3"/>
  <c r="K22" i="3"/>
  <c r="C23" i="3"/>
  <c r="D23" i="3"/>
  <c r="E23" i="3"/>
  <c r="F23" i="3"/>
  <c r="G23" i="3"/>
  <c r="H23" i="3"/>
  <c r="I23" i="3"/>
  <c r="J23" i="3"/>
  <c r="K23" i="3"/>
  <c r="B23" i="3"/>
  <c r="B22" i="3"/>
  <c r="B21" i="3"/>
  <c r="B20" i="3"/>
  <c r="B19" i="3"/>
  <c r="B18" i="3"/>
  <c r="B17" i="3"/>
  <c r="B15" i="3"/>
  <c r="B16" i="3"/>
  <c r="B13" i="3"/>
  <c r="B12" i="3"/>
  <c r="B11" i="3"/>
  <c r="B8" i="3"/>
  <c r="B7" i="3"/>
  <c r="B6" i="3"/>
  <c r="B4" i="3"/>
  <c r="B3" i="3"/>
  <c r="B14" i="3" s="1"/>
  <c r="B2" i="3"/>
</calcChain>
</file>

<file path=xl/sharedStrings.xml><?xml version="1.0" encoding="utf-8"?>
<sst xmlns="http://schemas.openxmlformats.org/spreadsheetml/2006/main" count="169" uniqueCount="105">
  <si>
    <t>Key short-term economic indicators</t>
  </si>
  <si>
    <t>Frequency of observation: Annual</t>
  </si>
  <si>
    <t>Measure: Long-term interest rates</t>
  </si>
  <si>
    <t>Unit of measure: Percent per annum</t>
  </si>
  <si>
    <t>Time period</t>
  </si>
  <si>
    <t>2010</t>
  </si>
  <si>
    <t>2011</t>
  </si>
  <si>
    <t>2012</t>
  </si>
  <si>
    <t>2013</t>
  </si>
  <si>
    <t>2014</t>
  </si>
  <si>
    <t>2015</t>
  </si>
  <si>
    <t>2016</t>
  </si>
  <si>
    <t>2017</t>
  </si>
  <si>
    <t>2018</t>
  </si>
  <si>
    <t>2019</t>
  </si>
  <si>
    <t>2020</t>
  </si>
  <si>
    <t>2021</t>
  </si>
  <si>
    <t>2022</t>
  </si>
  <si>
    <t>2023</t>
  </si>
  <si>
    <t>2024</t>
  </si>
  <si>
    <t>Reference area</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</si>
  <si>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</si>
  <si>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</si>
  <si>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</si>
  <si>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</si>
  <si>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</si>
  <si>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</si>
  <si>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</si>
  <si>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</si>
  <si>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</si>
  <si>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</si>
  <si>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</si>
  <si>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</si>
  <si>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</si>
  <si>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</si>
  <si>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</si>
  <si>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</si>
  <si>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</si>
  <si>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</si>
  <si>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</si>
  <si>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</si>
  <si>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</si>
  <si>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</si>
  <si>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</si>
  <si>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</si>
  <si>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</si>
  <si>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Netherlands</t>
  </si>
  <si>
    <t>New Zealand</t>
  </si>
  <si>
    <t>Norway</t>
  </si>
  <si>
    <t>Poland</t>
  </si>
  <si>
    <t>Portugal</t>
  </si>
  <si>
    <t>Slovak Republic</t>
  </si>
  <si>
    <t>Slovenia</t>
  </si>
  <si>
    <t>Spain</t>
  </si>
  <si>
    <t>Sweden</t>
  </si>
  <si>
    <t>Switzerland</t>
  </si>
  <si>
    <t>United Kingdom</t>
  </si>
  <si>
    <t>United States</t>
  </si>
  <si>
    <t>Euro area (19 countries)</t>
  </si>
  <si>
    <t>Non-OECD economies</t>
  </si>
  <si>
    <t>·  Brazil</t>
  </si>
  <si>
    <t>·  China (People’s Republic of)</t>
  </si>
  <si>
    <t>·  Croatia</t>
  </si>
  <si>
    <t>·  India</t>
  </si>
  <si>
    <t>·  Indonesia</t>
  </si>
  <si>
    <t>·  Russia</t>
  </si>
  <si>
    <t>·  South Africa</t>
  </si>
  <si>
    <t xml:space="preserve">© Terms &amp; conditions </t>
  </si>
  <si>
    <t>The Key Economic Indicators (KEI) database contains monthly and quarterly statistics (and associated statistical methodological information) for all OECD member countries and for a selection of non-member countries on a wide variety of economic indicators, namely: quarterly national accounts, industrial production, composite leading indicators, business tendency and consumer opinion surveys, retail trade, consumer and producer prices, hourly earnings, employment/unemployment, interest rates, monetary aggregates, exchange rates, international trade and balance of payments.&lt;p /&gt;Indicators have been prepared by national statistical agencies primarily to meet the requirements of users within their own country. In most instances, the indicators are compiled in accordance with international statistical guidelines and recommendations. However, national practices may depart from these guidelines, and these departures may impact on comparability between countries. There is an on-going process of review and revision of the contents of the database in order to maximise the relevance of the database for short-term economic analysis.&lt;p /&gt;&lt;a href=mailto:stat.contact@oecd.org&gt;OECD statistics contact&lt;/a&gt;&lt;p /&gt;&lt;a href="http://www.oecd.org/sdd"&gt;Statistics and Data Directorate&lt;/a&gt;</t>
  </si>
  <si>
    <t>Topic: Economy &gt; Short-term economic statistics</t>
  </si>
  <si>
    <t xml:space="preserve">Number of unfiltered data points: 1571595 </t>
  </si>
  <si>
    <t xml:space="preserve">Last updated: July 14, 2025 at 3:14:12 AM </t>
  </si>
  <si>
    <t>2015Y1</t>
  </si>
  <si>
    <t>2016Y1</t>
  </si>
  <si>
    <t>2017Y1</t>
  </si>
  <si>
    <t>2018Y1</t>
  </si>
  <si>
    <t>2019Y1</t>
  </si>
  <si>
    <t>2020Y1</t>
  </si>
  <si>
    <t>2021Y1</t>
  </si>
  <si>
    <t>2022Y1</t>
  </si>
  <si>
    <t>2023Y1</t>
  </si>
  <si>
    <t>2024Y1</t>
  </si>
  <si>
    <t>RZLR_AU</t>
  </si>
  <si>
    <t>RZLR_BR</t>
  </si>
  <si>
    <t>RZLR_CA</t>
  </si>
  <si>
    <t>RZLR_CN</t>
  </si>
  <si>
    <t>RZLR_DE</t>
  </si>
  <si>
    <t>RZLR_ES</t>
  </si>
  <si>
    <t>RZLR_FR</t>
  </si>
  <si>
    <t>RZLR_ID</t>
  </si>
  <si>
    <t>RZLR_IN</t>
  </si>
  <si>
    <t>RZLR_IT</t>
  </si>
  <si>
    <t>RZLR_JP</t>
  </si>
  <si>
    <t>RZLR_KR</t>
  </si>
  <si>
    <t>RZLR_MX</t>
  </si>
  <si>
    <t>RZLR_OE</t>
  </si>
  <si>
    <t>RZLR_RU</t>
  </si>
  <si>
    <t>RZLR_UK</t>
  </si>
  <si>
    <t>RZLR_US</t>
  </si>
  <si>
    <t>RZLR_WA</t>
  </si>
  <si>
    <t>RZLR_WE</t>
  </si>
  <si>
    <t>RZLR_WF</t>
  </si>
  <si>
    <t>RZLR_WL</t>
  </si>
  <si>
    <t>RZLR_WM</t>
  </si>
  <si>
    <t>vars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</si>
</sst>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764">
    <font>
      <sz val="11"/>
      <color theme="1"/>
      <name val="Calibri"/>
      <family val="2"/>
      <scheme val="minor"/>
    </font>
    <font>
      <b/>
      <sz val="11"/>
      <name val="Calibri"/>
    </font>
    <font>
      <sz val="11"/>
      <name val="Calibri"/>
    </font>
    <font>
      <sz val="11"/>
      <name val="Calibri"/>
    </font>
    <font>
      <sz val="11"/>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sz val="11"/>
      <color rgb="FFFF0000"/>
      <name val="Calibri"/>
      <family val="2"/>
      <scheme val="minor"/>
    </font>
    <font>
      <sz val="11"/>
      <color theme="5"/>
      <name val="Calibri"/>
      <family val="2"/>
      <scheme val="minor"/>
    </font>
    <font>
      <sz val="8"/>
      <name val="Calibri"/>
      <family val="2"/>
      <scheme val="minor"/>
    </font>
  </fonts>
  <fills count="762">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761">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64">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164" fontId="38" fillId="39" borderId="38" xfId="0" applyNumberFormat="1" applyFont="1" applyFill="1" applyBorder="1" applyAlignment="1">
      <alignment horizontal="right" wrapText="1" readingOrder="1"/>
    </xf>
    <xf numFmtId="164" fontId="39" fillId="40" borderId="39" xfId="0" applyNumberFormat="1" applyFont="1" applyFill="1" applyBorder="1" applyAlignment="1">
      <alignment horizontal="right" wrapText="1" readingOrder="1"/>
    </xf>
    <xf numFmtId="164" fontId="40" fillId="41" borderId="40" xfId="0" applyNumberFormat="1" applyFont="1" applyFill="1" applyBorder="1" applyAlignment="1">
      <alignment horizontal="right" wrapText="1" readingOrder="1"/>
    </xf>
    <xf numFmtId="164" fontId="41" fillId="42" borderId="41" xfId="0" applyNumberFormat="1" applyFont="1" applyFill="1" applyBorder="1" applyAlignment="1">
      <alignment horizontal="right" wrapText="1" readingOrder="1"/>
    </xf>
    <xf numFmtId="164" fontId="42" fillId="43" borderId="42" xfId="0" applyNumberFormat="1" applyFont="1" applyFill="1" applyBorder="1" applyAlignment="1">
      <alignment horizontal="right" wrapText="1" readingOrder="1"/>
    </xf>
    <xf numFmtId="164" fontId="43" fillId="44" borderId="43" xfId="0" applyNumberFormat="1" applyFont="1" applyFill="1" applyBorder="1" applyAlignment="1">
      <alignment horizontal="right" wrapText="1" readingOrder="1"/>
    </xf>
    <xf numFmtId="164" fontId="44" fillId="45" borderId="44" xfId="0" applyNumberFormat="1" applyFont="1" applyFill="1" applyBorder="1" applyAlignment="1">
      <alignment horizontal="right" wrapText="1" readingOrder="1"/>
    </xf>
    <xf numFmtId="164" fontId="45" fillId="46" borderId="45" xfId="0" applyNumberFormat="1" applyFont="1" applyFill="1" applyBorder="1" applyAlignment="1">
      <alignment horizontal="right" wrapText="1" readingOrder="1"/>
    </xf>
    <xf numFmtId="164" fontId="46" fillId="47" borderId="46" xfId="0" applyNumberFormat="1" applyFont="1" applyFill="1" applyBorder="1" applyAlignment="1">
      <alignment horizontal="right" wrapText="1" readingOrder="1"/>
    </xf>
    <xf numFmtId="164" fontId="47" fillId="48" borderId="47" xfId="0" applyNumberFormat="1" applyFont="1" applyFill="1" applyBorder="1" applyAlignment="1">
      <alignment horizontal="right" wrapText="1" readingOrder="1"/>
    </xf>
    <xf numFmtId="164" fontId="48" fillId="49" borderId="48" xfId="0" applyNumberFormat="1" applyFont="1" applyFill="1" applyBorder="1" applyAlignment="1">
      <alignment horizontal="right" wrapText="1" readingOrder="1"/>
    </xf>
    <xf numFmtId="164" fontId="49" fillId="50" borderId="49" xfId="0" applyNumberFormat="1" applyFont="1" applyFill="1" applyBorder="1" applyAlignment="1">
      <alignment horizontal="right" wrapText="1" readingOrder="1"/>
    </xf>
    <xf numFmtId="164" fontId="50" fillId="51" borderId="50" xfId="0" applyNumberFormat="1" applyFont="1" applyFill="1" applyBorder="1" applyAlignment="1">
      <alignment horizontal="right" wrapText="1" readingOrder="1"/>
    </xf>
    <xf numFmtId="164" fontId="51" fillId="52" borderId="51" xfId="0" applyNumberFormat="1" applyFont="1" applyFill="1" applyBorder="1" applyAlignment="1">
      <alignment horizontal="right" wrapText="1" readingOrder="1"/>
    </xf>
    <xf numFmtId="164" fontId="52" fillId="53" borderId="52" xfId="0" applyNumberFormat="1" applyFont="1" applyFill="1" applyBorder="1" applyAlignment="1">
      <alignment horizontal="right" wrapText="1" readingOrder="1"/>
    </xf>
    <xf numFmtId="0" fontId="53" fillId="54" borderId="53" xfId="0" applyFont="1" applyFill="1" applyBorder="1" applyAlignment="1">
      <alignment horizontal="left" vertical="top" wrapText="1" readingOrder="1"/>
    </xf>
    <xf numFmtId="164" fontId="54" fillId="55" borderId="54" xfId="0" applyNumberFormat="1" applyFont="1" applyFill="1" applyBorder="1" applyAlignment="1">
      <alignment horizontal="right" wrapText="1" readingOrder="1"/>
    </xf>
    <xf numFmtId="164" fontId="55" fillId="56" borderId="55" xfId="0" applyNumberFormat="1" applyFont="1" applyFill="1" applyBorder="1" applyAlignment="1">
      <alignment horizontal="right" wrapText="1" readingOrder="1"/>
    </xf>
    <xf numFmtId="164" fontId="56" fillId="57" borderId="56" xfId="0" applyNumberFormat="1" applyFont="1" applyFill="1" applyBorder="1" applyAlignment="1">
      <alignment horizontal="right" wrapText="1" readingOrder="1"/>
    </xf>
    <xf numFmtId="164" fontId="57" fillId="58" borderId="57" xfId="0" applyNumberFormat="1" applyFont="1" applyFill="1" applyBorder="1" applyAlignment="1">
      <alignment horizontal="right" wrapText="1" readingOrder="1"/>
    </xf>
    <xf numFmtId="164" fontId="58" fillId="59" borderId="58" xfId="0" applyNumberFormat="1" applyFont="1" applyFill="1" applyBorder="1" applyAlignment="1">
      <alignment horizontal="right" wrapText="1" readingOrder="1"/>
    </xf>
    <xf numFmtId="164" fontId="59" fillId="60" borderId="59" xfId="0" applyNumberFormat="1" applyFont="1" applyFill="1" applyBorder="1" applyAlignment="1">
      <alignment horizontal="right" wrapText="1" readingOrder="1"/>
    </xf>
    <xf numFmtId="164" fontId="60" fillId="61" borderId="60" xfId="0" applyNumberFormat="1" applyFont="1" applyFill="1" applyBorder="1" applyAlignment="1">
      <alignment horizontal="right" wrapText="1" readingOrder="1"/>
    </xf>
    <xf numFmtId="164" fontId="61" fillId="62" borderId="61" xfId="0" applyNumberFormat="1" applyFont="1" applyFill="1" applyBorder="1" applyAlignment="1">
      <alignment horizontal="right" wrapText="1" readingOrder="1"/>
    </xf>
    <xf numFmtId="164" fontId="62" fillId="63" borderId="62" xfId="0" applyNumberFormat="1" applyFont="1" applyFill="1" applyBorder="1" applyAlignment="1">
      <alignment horizontal="right" wrapText="1" readingOrder="1"/>
    </xf>
    <xf numFmtId="164" fontId="63" fillId="64" borderId="63" xfId="0" applyNumberFormat="1" applyFont="1" applyFill="1" applyBorder="1" applyAlignment="1">
      <alignment horizontal="right" wrapText="1" readingOrder="1"/>
    </xf>
    <xf numFmtId="164" fontId="64" fillId="65" borderId="64" xfId="0" applyNumberFormat="1" applyFont="1" applyFill="1" applyBorder="1" applyAlignment="1">
      <alignment horizontal="right" wrapText="1" readingOrder="1"/>
    </xf>
    <xf numFmtId="164" fontId="65" fillId="66" borderId="65" xfId="0" applyNumberFormat="1" applyFont="1" applyFill="1" applyBorder="1" applyAlignment="1">
      <alignment horizontal="right" wrapText="1" readingOrder="1"/>
    </xf>
    <xf numFmtId="164" fontId="66" fillId="67" borderId="66" xfId="0" applyNumberFormat="1" applyFont="1" applyFill="1" applyBorder="1" applyAlignment="1">
      <alignment horizontal="right" wrapText="1" readingOrder="1"/>
    </xf>
    <xf numFmtId="164" fontId="67" fillId="68" borderId="67" xfId="0" applyNumberFormat="1" applyFont="1" applyFill="1" applyBorder="1" applyAlignment="1">
      <alignment horizontal="right" wrapText="1" readingOrder="1"/>
    </xf>
    <xf numFmtId="164" fontId="68" fillId="69" borderId="68" xfId="0" applyNumberFormat="1" applyFont="1" applyFill="1" applyBorder="1" applyAlignment="1">
      <alignment horizontal="right" wrapText="1" readingOrder="1"/>
    </xf>
    <xf numFmtId="0" fontId="69" fillId="70" borderId="69" xfId="0" applyFont="1" applyFill="1" applyBorder="1" applyAlignment="1">
      <alignment horizontal="left" vertical="top" wrapText="1" readingOrder="1"/>
    </xf>
    <xf numFmtId="164" fontId="70" fillId="71" borderId="70" xfId="0" applyNumberFormat="1" applyFont="1" applyFill="1" applyBorder="1" applyAlignment="1">
      <alignment horizontal="right" wrapText="1" readingOrder="1"/>
    </xf>
    <xf numFmtId="164" fontId="71" fillId="72" borderId="71" xfId="0" applyNumberFormat="1" applyFont="1" applyFill="1" applyBorder="1" applyAlignment="1">
      <alignment horizontal="right" wrapText="1" readingOrder="1"/>
    </xf>
    <xf numFmtId="164" fontId="72" fillId="73" borderId="72" xfId="0" applyNumberFormat="1" applyFont="1" applyFill="1" applyBorder="1" applyAlignment="1">
      <alignment horizontal="right" wrapText="1" readingOrder="1"/>
    </xf>
    <xf numFmtId="164" fontId="73" fillId="74" borderId="73" xfId="0" applyNumberFormat="1" applyFont="1" applyFill="1" applyBorder="1" applyAlignment="1">
      <alignment horizontal="right" wrapText="1" readingOrder="1"/>
    </xf>
    <xf numFmtId="164" fontId="74" fillId="75" borderId="74" xfId="0" applyNumberFormat="1" applyFont="1" applyFill="1" applyBorder="1" applyAlignment="1">
      <alignment horizontal="right" wrapText="1" readingOrder="1"/>
    </xf>
    <xf numFmtId="164" fontId="75" fillId="76" borderId="75" xfId="0" applyNumberFormat="1" applyFont="1" applyFill="1" applyBorder="1" applyAlignment="1">
      <alignment horizontal="right" wrapText="1" readingOrder="1"/>
    </xf>
    <xf numFmtId="164" fontId="76" fillId="77" borderId="76" xfId="0" applyNumberFormat="1" applyFont="1" applyFill="1" applyBorder="1" applyAlignment="1">
      <alignment horizontal="right" wrapText="1" readingOrder="1"/>
    </xf>
    <xf numFmtId="164" fontId="77" fillId="78" borderId="77" xfId="0" applyNumberFormat="1" applyFont="1" applyFill="1" applyBorder="1" applyAlignment="1">
      <alignment horizontal="right" wrapText="1" readingOrder="1"/>
    </xf>
    <xf numFmtId="164" fontId="78" fillId="79" borderId="78" xfId="0" applyNumberFormat="1" applyFont="1" applyFill="1" applyBorder="1" applyAlignment="1">
      <alignment horizontal="right" wrapText="1" readingOrder="1"/>
    </xf>
    <xf numFmtId="164" fontId="79" fillId="80" borderId="79" xfId="0" applyNumberFormat="1" applyFont="1" applyFill="1" applyBorder="1" applyAlignment="1">
      <alignment horizontal="right" wrapText="1" readingOrder="1"/>
    </xf>
    <xf numFmtId="164" fontId="80" fillId="81" borderId="80" xfId="0" applyNumberFormat="1" applyFont="1" applyFill="1" applyBorder="1" applyAlignment="1">
      <alignment horizontal="right" wrapText="1" readingOrder="1"/>
    </xf>
    <xf numFmtId="164" fontId="81" fillId="82" borderId="81" xfId="0" applyNumberFormat="1" applyFont="1" applyFill="1" applyBorder="1" applyAlignment="1">
      <alignment horizontal="right" wrapText="1" readingOrder="1"/>
    </xf>
    <xf numFmtId="164" fontId="82" fillId="83" borderId="82" xfId="0" applyNumberFormat="1" applyFont="1" applyFill="1" applyBorder="1" applyAlignment="1">
      <alignment horizontal="right" wrapText="1" readingOrder="1"/>
    </xf>
    <xf numFmtId="164" fontId="83" fillId="84" borderId="83" xfId="0" applyNumberFormat="1" applyFont="1" applyFill="1" applyBorder="1" applyAlignment="1">
      <alignment horizontal="right" wrapText="1" readingOrder="1"/>
    </xf>
    <xf numFmtId="164" fontId="84" fillId="85" borderId="84" xfId="0" applyNumberFormat="1" applyFont="1" applyFill="1" applyBorder="1" applyAlignment="1">
      <alignment horizontal="right" wrapText="1" readingOrder="1"/>
    </xf>
    <xf numFmtId="0" fontId="85" fillId="86" borderId="85" xfId="0" applyFont="1" applyFill="1" applyBorder="1" applyAlignment="1">
      <alignment horizontal="left" vertical="top" wrapText="1" readingOrder="1"/>
    </xf>
    <xf numFmtId="164" fontId="86" fillId="87" borderId="86" xfId="0" applyNumberFormat="1" applyFont="1" applyFill="1" applyBorder="1" applyAlignment="1">
      <alignment horizontal="right" wrapText="1" readingOrder="1"/>
    </xf>
    <xf numFmtId="164" fontId="87" fillId="88" borderId="87" xfId="0" applyNumberFormat="1" applyFont="1" applyFill="1" applyBorder="1" applyAlignment="1">
      <alignment horizontal="right" wrapText="1" readingOrder="1"/>
    </xf>
    <xf numFmtId="164" fontId="88" fillId="89" borderId="88" xfId="0" applyNumberFormat="1" applyFont="1" applyFill="1" applyBorder="1" applyAlignment="1">
      <alignment horizontal="right" wrapText="1" readingOrder="1"/>
    </xf>
    <xf numFmtId="164" fontId="89" fillId="90" borderId="89" xfId="0" applyNumberFormat="1" applyFont="1" applyFill="1" applyBorder="1" applyAlignment="1">
      <alignment horizontal="right" wrapText="1" readingOrder="1"/>
    </xf>
    <xf numFmtId="164" fontId="90" fillId="91" borderId="90" xfId="0" applyNumberFormat="1" applyFont="1" applyFill="1" applyBorder="1" applyAlignment="1">
      <alignment horizontal="right" wrapText="1" readingOrder="1"/>
    </xf>
    <xf numFmtId="164" fontId="91" fillId="92" borderId="91" xfId="0" applyNumberFormat="1" applyFont="1" applyFill="1" applyBorder="1" applyAlignment="1">
      <alignment horizontal="right" wrapText="1" readingOrder="1"/>
    </xf>
    <xf numFmtId="164" fontId="92" fillId="93" borderId="92" xfId="0" applyNumberFormat="1" applyFont="1" applyFill="1" applyBorder="1" applyAlignment="1">
      <alignment horizontal="right" wrapText="1" readingOrder="1"/>
    </xf>
    <xf numFmtId="164" fontId="93" fillId="94" borderId="93" xfId="0" applyNumberFormat="1" applyFont="1" applyFill="1" applyBorder="1" applyAlignment="1">
      <alignment horizontal="right" wrapText="1" readingOrder="1"/>
    </xf>
    <xf numFmtId="164" fontId="94" fillId="95" borderId="94" xfId="0" applyNumberFormat="1" applyFont="1" applyFill="1" applyBorder="1" applyAlignment="1">
      <alignment horizontal="right" wrapText="1" readingOrder="1"/>
    </xf>
    <xf numFmtId="164" fontId="95" fillId="96" borderId="95" xfId="0" applyNumberFormat="1" applyFont="1" applyFill="1" applyBorder="1" applyAlignment="1">
      <alignment horizontal="right" wrapText="1" readingOrder="1"/>
    </xf>
    <xf numFmtId="164" fontId="96" fillId="97" borderId="96" xfId="0" applyNumberFormat="1" applyFont="1" applyFill="1" applyBorder="1" applyAlignment="1">
      <alignment horizontal="right" wrapText="1" readingOrder="1"/>
    </xf>
    <xf numFmtId="164" fontId="97" fillId="98" borderId="97" xfId="0" applyNumberFormat="1" applyFont="1" applyFill="1" applyBorder="1" applyAlignment="1">
      <alignment horizontal="right" wrapText="1" readingOrder="1"/>
    </xf>
    <xf numFmtId="164" fontId="98" fillId="99" borderId="98" xfId="0" applyNumberFormat="1" applyFont="1" applyFill="1" applyBorder="1" applyAlignment="1">
      <alignment horizontal="right" wrapText="1" readingOrder="1"/>
    </xf>
    <xf numFmtId="164" fontId="99" fillId="100" borderId="99" xfId="0" applyNumberFormat="1" applyFont="1" applyFill="1" applyBorder="1" applyAlignment="1">
      <alignment horizontal="right" wrapText="1" readingOrder="1"/>
    </xf>
    <xf numFmtId="164" fontId="100" fillId="101" borderId="100" xfId="0" applyNumberFormat="1" applyFont="1" applyFill="1" applyBorder="1" applyAlignment="1">
      <alignment horizontal="right" wrapText="1" readingOrder="1"/>
    </xf>
    <xf numFmtId="0" fontId="101" fillId="102" borderId="101" xfId="0" applyFont="1" applyFill="1" applyBorder="1" applyAlignment="1">
      <alignment horizontal="left" vertical="top" wrapText="1" readingOrder="1"/>
    </xf>
    <xf numFmtId="164" fontId="102" fillId="103" borderId="102" xfId="0" applyNumberFormat="1" applyFont="1" applyFill="1" applyBorder="1" applyAlignment="1">
      <alignment horizontal="right" wrapText="1" readingOrder="1"/>
    </xf>
    <xf numFmtId="164" fontId="103" fillId="104" borderId="103" xfId="0" applyNumberFormat="1" applyFont="1" applyFill="1" applyBorder="1" applyAlignment="1">
      <alignment horizontal="right" wrapText="1" readingOrder="1"/>
    </xf>
    <xf numFmtId="164" fontId="104" fillId="105" borderId="104" xfId="0" applyNumberFormat="1" applyFont="1" applyFill="1" applyBorder="1" applyAlignment="1">
      <alignment horizontal="right" wrapText="1" readingOrder="1"/>
    </xf>
    <xf numFmtId="164" fontId="105" fillId="106" borderId="105" xfId="0" applyNumberFormat="1" applyFont="1" applyFill="1" applyBorder="1" applyAlignment="1">
      <alignment horizontal="right" wrapText="1" readingOrder="1"/>
    </xf>
    <xf numFmtId="164" fontId="106" fillId="107" borderId="106" xfId="0" applyNumberFormat="1" applyFont="1" applyFill="1" applyBorder="1" applyAlignment="1">
      <alignment horizontal="right" wrapText="1" readingOrder="1"/>
    </xf>
    <xf numFmtId="164" fontId="107" fillId="108" borderId="107" xfId="0" applyNumberFormat="1" applyFont="1" applyFill="1" applyBorder="1" applyAlignment="1">
      <alignment horizontal="right" wrapText="1" readingOrder="1"/>
    </xf>
    <xf numFmtId="164" fontId="108" fillId="109" borderId="108" xfId="0" applyNumberFormat="1" applyFont="1" applyFill="1" applyBorder="1" applyAlignment="1">
      <alignment horizontal="right" wrapText="1" readingOrder="1"/>
    </xf>
    <xf numFmtId="164" fontId="109" fillId="110" borderId="109" xfId="0" applyNumberFormat="1" applyFont="1" applyFill="1" applyBorder="1" applyAlignment="1">
      <alignment horizontal="right" wrapText="1" readingOrder="1"/>
    </xf>
    <xf numFmtId="164" fontId="110" fillId="111" borderId="110" xfId="0" applyNumberFormat="1" applyFont="1" applyFill="1" applyBorder="1" applyAlignment="1">
      <alignment horizontal="right" wrapText="1" readingOrder="1"/>
    </xf>
    <xf numFmtId="164" fontId="111" fillId="112" borderId="111" xfId="0" applyNumberFormat="1" applyFont="1" applyFill="1" applyBorder="1" applyAlignment="1">
      <alignment horizontal="right" wrapText="1" readingOrder="1"/>
    </xf>
    <xf numFmtId="164" fontId="112" fillId="113" borderId="112" xfId="0" applyNumberFormat="1" applyFont="1" applyFill="1" applyBorder="1" applyAlignment="1">
      <alignment horizontal="right" wrapText="1" readingOrder="1"/>
    </xf>
    <xf numFmtId="164" fontId="113" fillId="114" borderId="113" xfId="0" applyNumberFormat="1" applyFont="1" applyFill="1" applyBorder="1" applyAlignment="1">
      <alignment horizontal="right" wrapText="1" readingOrder="1"/>
    </xf>
    <xf numFmtId="164" fontId="114" fillId="115" borderId="114" xfId="0" applyNumberFormat="1" applyFont="1" applyFill="1" applyBorder="1" applyAlignment="1">
      <alignment horizontal="right" wrapText="1" readingOrder="1"/>
    </xf>
    <xf numFmtId="164" fontId="115" fillId="116" borderId="115" xfId="0" applyNumberFormat="1" applyFont="1" applyFill="1" applyBorder="1" applyAlignment="1">
      <alignment horizontal="right" wrapText="1" readingOrder="1"/>
    </xf>
    <xf numFmtId="164" fontId="116" fillId="117" borderId="116" xfId="0" applyNumberFormat="1" applyFont="1" applyFill="1" applyBorder="1" applyAlignment="1">
      <alignment horizontal="right" wrapText="1" readingOrder="1"/>
    </xf>
    <xf numFmtId="0" fontId="117" fillId="118" borderId="117" xfId="0" applyFont="1" applyFill="1" applyBorder="1" applyAlignment="1">
      <alignment horizontal="left" vertical="top" wrapText="1" readingOrder="1"/>
    </xf>
    <xf numFmtId="164" fontId="118" fillId="119" borderId="118" xfId="0" applyNumberFormat="1" applyFont="1" applyFill="1" applyBorder="1" applyAlignment="1">
      <alignment horizontal="right" wrapText="1" readingOrder="1"/>
    </xf>
    <xf numFmtId="164" fontId="119" fillId="120" borderId="119" xfId="0" applyNumberFormat="1" applyFont="1" applyFill="1" applyBorder="1" applyAlignment="1">
      <alignment horizontal="right" wrapText="1" readingOrder="1"/>
    </xf>
    <xf numFmtId="164" fontId="120" fillId="121" borderId="120" xfId="0" applyNumberFormat="1" applyFont="1" applyFill="1" applyBorder="1" applyAlignment="1">
      <alignment horizontal="right" wrapText="1" readingOrder="1"/>
    </xf>
    <xf numFmtId="164" fontId="121" fillId="122" borderId="121" xfId="0" applyNumberFormat="1" applyFont="1" applyFill="1" applyBorder="1" applyAlignment="1">
      <alignment horizontal="right" wrapText="1" readingOrder="1"/>
    </xf>
    <xf numFmtId="164" fontId="122" fillId="123" borderId="122" xfId="0" applyNumberFormat="1" applyFont="1" applyFill="1" applyBorder="1" applyAlignment="1">
      <alignment horizontal="right" wrapText="1" readingOrder="1"/>
    </xf>
    <xf numFmtId="164" fontId="123" fillId="124" borderId="123" xfId="0" applyNumberFormat="1" applyFont="1" applyFill="1" applyBorder="1" applyAlignment="1">
      <alignment horizontal="right" wrapText="1" readingOrder="1"/>
    </xf>
    <xf numFmtId="164" fontId="124" fillId="125" borderId="124" xfId="0" applyNumberFormat="1" applyFont="1" applyFill="1" applyBorder="1" applyAlignment="1">
      <alignment horizontal="right" wrapText="1" readingOrder="1"/>
    </xf>
    <xf numFmtId="164" fontId="125" fillId="126" borderId="125" xfId="0" applyNumberFormat="1" applyFont="1" applyFill="1" applyBorder="1" applyAlignment="1">
      <alignment horizontal="right" wrapText="1" readingOrder="1"/>
    </xf>
    <xf numFmtId="164" fontId="126" fillId="127" borderId="126" xfId="0" applyNumberFormat="1" applyFont="1" applyFill="1" applyBorder="1" applyAlignment="1">
      <alignment horizontal="right" wrapText="1" readingOrder="1"/>
    </xf>
    <xf numFmtId="164" fontId="127" fillId="128" borderId="127" xfId="0" applyNumberFormat="1" applyFont="1" applyFill="1" applyBorder="1" applyAlignment="1">
      <alignment horizontal="right" wrapText="1" readingOrder="1"/>
    </xf>
    <xf numFmtId="164" fontId="128" fillId="129" borderId="128" xfId="0" applyNumberFormat="1" applyFont="1" applyFill="1" applyBorder="1" applyAlignment="1">
      <alignment horizontal="right" wrapText="1" readingOrder="1"/>
    </xf>
    <xf numFmtId="164" fontId="129" fillId="130" borderId="129" xfId="0" applyNumberFormat="1" applyFont="1" applyFill="1" applyBorder="1" applyAlignment="1">
      <alignment horizontal="right" wrapText="1" readingOrder="1"/>
    </xf>
    <xf numFmtId="164" fontId="130" fillId="131" borderId="130" xfId="0" applyNumberFormat="1" applyFont="1" applyFill="1" applyBorder="1" applyAlignment="1">
      <alignment horizontal="right" wrapText="1" readingOrder="1"/>
    </xf>
    <xf numFmtId="164" fontId="131" fillId="132" borderId="131" xfId="0" applyNumberFormat="1" applyFont="1" applyFill="1" applyBorder="1" applyAlignment="1">
      <alignment horizontal="right" wrapText="1" readingOrder="1"/>
    </xf>
    <xf numFmtId="164" fontId="132" fillId="133" borderId="132" xfId="0" applyNumberFormat="1" applyFont="1" applyFill="1" applyBorder="1" applyAlignment="1">
      <alignment horizontal="right" wrapText="1" readingOrder="1"/>
    </xf>
    <xf numFmtId="0" fontId="133" fillId="134" borderId="133" xfId="0" applyFont="1" applyFill="1" applyBorder="1" applyAlignment="1">
      <alignment horizontal="left" vertical="top" wrapText="1" readingOrder="1"/>
    </xf>
    <xf numFmtId="0" fontId="134" fillId="135" borderId="134" xfId="0" applyFont="1" applyFill="1" applyBorder="1" applyAlignment="1">
      <alignment horizontal="right" wrapText="1" readingOrder="1"/>
    </xf>
    <xf numFmtId="0" fontId="135" fillId="136" borderId="135" xfId="0" applyFont="1" applyFill="1" applyBorder="1" applyAlignment="1">
      <alignment horizontal="right" wrapText="1" readingOrder="1"/>
    </xf>
    <xf numFmtId="0" fontId="136" fillId="137" borderId="136" xfId="0" applyFont="1" applyFill="1" applyBorder="1" applyAlignment="1">
      <alignment horizontal="right" wrapText="1" readingOrder="1"/>
    </xf>
    <xf numFmtId="0" fontId="137" fillId="138" borderId="137" xfId="0" applyFont="1" applyFill="1" applyBorder="1" applyAlignment="1">
      <alignment horizontal="right" wrapText="1" readingOrder="1"/>
    </xf>
    <xf numFmtId="164" fontId="138" fillId="139" borderId="138" xfId="0" applyNumberFormat="1" applyFont="1" applyFill="1" applyBorder="1" applyAlignment="1">
      <alignment horizontal="right" wrapText="1" readingOrder="1"/>
    </xf>
    <xf numFmtId="164" fontId="139" fillId="140" borderId="139" xfId="0" applyNumberFormat="1" applyFont="1" applyFill="1" applyBorder="1" applyAlignment="1">
      <alignment horizontal="right" wrapText="1" readingOrder="1"/>
    </xf>
    <xf numFmtId="164" fontId="140" fillId="141" borderId="140" xfId="0" applyNumberFormat="1" applyFont="1" applyFill="1" applyBorder="1" applyAlignment="1">
      <alignment horizontal="right" wrapText="1" readingOrder="1"/>
    </xf>
    <xf numFmtId="164" fontId="141" fillId="142" borderId="141" xfId="0" applyNumberFormat="1" applyFont="1" applyFill="1" applyBorder="1" applyAlignment="1">
      <alignment horizontal="right" wrapText="1" readingOrder="1"/>
    </xf>
    <xf numFmtId="164" fontId="142" fillId="143" borderId="142" xfId="0" applyNumberFormat="1" applyFont="1" applyFill="1" applyBorder="1" applyAlignment="1">
      <alignment horizontal="right" wrapText="1" readingOrder="1"/>
    </xf>
    <xf numFmtId="164" fontId="143" fillId="144" borderId="143" xfId="0" applyNumberFormat="1" applyFont="1" applyFill="1" applyBorder="1" applyAlignment="1">
      <alignment horizontal="right" wrapText="1" readingOrder="1"/>
    </xf>
    <xf numFmtId="164" fontId="144" fillId="145" borderId="144" xfId="0" applyNumberFormat="1" applyFont="1" applyFill="1" applyBorder="1" applyAlignment="1">
      <alignment horizontal="right" wrapText="1" readingOrder="1"/>
    </xf>
    <xf numFmtId="164" fontId="145" fillId="146" borderId="145" xfId="0" applyNumberFormat="1" applyFont="1" applyFill="1" applyBorder="1" applyAlignment="1">
      <alignment horizontal="right" wrapText="1" readingOrder="1"/>
    </xf>
    <xf numFmtId="164" fontId="146" fillId="147" borderId="146" xfId="0" applyNumberFormat="1" applyFont="1" applyFill="1" applyBorder="1" applyAlignment="1">
      <alignment horizontal="right" wrapText="1" readingOrder="1"/>
    </xf>
    <xf numFmtId="164" fontId="147" fillId="148" borderId="147" xfId="0" applyNumberFormat="1" applyFont="1" applyFill="1" applyBorder="1" applyAlignment="1">
      <alignment horizontal="right" wrapText="1" readingOrder="1"/>
    </xf>
    <xf numFmtId="164" fontId="148" fillId="149" borderId="148" xfId="0" applyNumberFormat="1" applyFont="1" applyFill="1" applyBorder="1" applyAlignment="1">
      <alignment horizontal="right" wrapText="1" readingOrder="1"/>
    </xf>
    <xf numFmtId="0" fontId="149" fillId="150" borderId="149" xfId="0" applyFont="1" applyFill="1" applyBorder="1" applyAlignment="1">
      <alignment horizontal="left" vertical="top" wrapText="1" readingOrder="1"/>
    </xf>
    <xf numFmtId="164" fontId="150" fillId="151" borderId="150" xfId="0" applyNumberFormat="1" applyFont="1" applyFill="1" applyBorder="1" applyAlignment="1">
      <alignment horizontal="right" wrapText="1" readingOrder="1"/>
    </xf>
    <xf numFmtId="164" fontId="151" fillId="152" borderId="151" xfId="0" applyNumberFormat="1" applyFont="1" applyFill="1" applyBorder="1" applyAlignment="1">
      <alignment horizontal="right" wrapText="1" readingOrder="1"/>
    </xf>
    <xf numFmtId="164" fontId="152" fillId="153" borderId="152" xfId="0" applyNumberFormat="1" applyFont="1" applyFill="1" applyBorder="1" applyAlignment="1">
      <alignment horizontal="right" wrapText="1" readingOrder="1"/>
    </xf>
    <xf numFmtId="164" fontId="153" fillId="154" borderId="153" xfId="0" applyNumberFormat="1" applyFont="1" applyFill="1" applyBorder="1" applyAlignment="1">
      <alignment horizontal="right" wrapText="1" readingOrder="1"/>
    </xf>
    <xf numFmtId="164" fontId="154" fillId="155" borderId="154" xfId="0" applyNumberFormat="1" applyFont="1" applyFill="1" applyBorder="1" applyAlignment="1">
      <alignment horizontal="right" wrapText="1" readingOrder="1"/>
    </xf>
    <xf numFmtId="164" fontId="155" fillId="156" borderId="155" xfId="0" applyNumberFormat="1" applyFont="1" applyFill="1" applyBorder="1" applyAlignment="1">
      <alignment horizontal="right" wrapText="1" readingOrder="1"/>
    </xf>
    <xf numFmtId="164" fontId="156" fillId="157" borderId="156" xfId="0" applyNumberFormat="1" applyFont="1" applyFill="1" applyBorder="1" applyAlignment="1">
      <alignment horizontal="right" wrapText="1" readingOrder="1"/>
    </xf>
    <xf numFmtId="164" fontId="157" fillId="158" borderId="157" xfId="0" applyNumberFormat="1" applyFont="1" applyFill="1" applyBorder="1" applyAlignment="1">
      <alignment horizontal="right" wrapText="1" readingOrder="1"/>
    </xf>
    <xf numFmtId="164" fontId="158" fillId="159" borderId="158" xfId="0" applyNumberFormat="1" applyFont="1" applyFill="1" applyBorder="1" applyAlignment="1">
      <alignment horizontal="right" wrapText="1" readingOrder="1"/>
    </xf>
    <xf numFmtId="164" fontId="159" fillId="160" borderId="159" xfId="0" applyNumberFormat="1" applyFont="1" applyFill="1" applyBorder="1" applyAlignment="1">
      <alignment horizontal="right" wrapText="1" readingOrder="1"/>
    </xf>
    <xf numFmtId="164" fontId="160" fillId="161" borderId="160" xfId="0" applyNumberFormat="1" applyFont="1" applyFill="1" applyBorder="1" applyAlignment="1">
      <alignment horizontal="right" wrapText="1" readingOrder="1"/>
    </xf>
    <xf numFmtId="164" fontId="161" fillId="162" borderId="161" xfId="0" applyNumberFormat="1" applyFont="1" applyFill="1" applyBorder="1" applyAlignment="1">
      <alignment horizontal="right" wrapText="1" readingOrder="1"/>
    </xf>
    <xf numFmtId="164" fontId="162" fillId="163" borderId="162" xfId="0" applyNumberFormat="1" applyFont="1" applyFill="1" applyBorder="1" applyAlignment="1">
      <alignment horizontal="right" wrapText="1" readingOrder="1"/>
    </xf>
    <xf numFmtId="164" fontId="163" fillId="164" borderId="163" xfId="0" applyNumberFormat="1" applyFont="1" applyFill="1" applyBorder="1" applyAlignment="1">
      <alignment horizontal="right" wrapText="1" readingOrder="1"/>
    </xf>
    <xf numFmtId="164" fontId="164" fillId="165" borderId="164" xfId="0" applyNumberFormat="1" applyFont="1" applyFill="1" applyBorder="1" applyAlignment="1">
      <alignment horizontal="right" wrapText="1" readingOrder="1"/>
    </xf>
    <xf numFmtId="0" fontId="165" fillId="166" borderId="165" xfId="0" applyFont="1" applyFill="1" applyBorder="1" applyAlignment="1">
      <alignment horizontal="left" vertical="top" wrapText="1" readingOrder="1"/>
    </xf>
    <xf numFmtId="164" fontId="166" fillId="167" borderId="166" xfId="0" applyNumberFormat="1" applyFont="1" applyFill="1" applyBorder="1" applyAlignment="1">
      <alignment horizontal="right" wrapText="1" readingOrder="1"/>
    </xf>
    <xf numFmtId="164" fontId="167" fillId="168" borderId="167" xfId="0" applyNumberFormat="1" applyFont="1" applyFill="1" applyBorder="1" applyAlignment="1">
      <alignment horizontal="right" wrapText="1" readingOrder="1"/>
    </xf>
    <xf numFmtId="164" fontId="168" fillId="169" borderId="168" xfId="0" applyNumberFormat="1" applyFont="1" applyFill="1" applyBorder="1" applyAlignment="1">
      <alignment horizontal="right" wrapText="1" readingOrder="1"/>
    </xf>
    <xf numFmtId="164" fontId="169" fillId="170" borderId="169" xfId="0" applyNumberFormat="1" applyFont="1" applyFill="1" applyBorder="1" applyAlignment="1">
      <alignment horizontal="right" wrapText="1" readingOrder="1"/>
    </xf>
    <xf numFmtId="164" fontId="170" fillId="171" borderId="170" xfId="0" applyNumberFormat="1" applyFont="1" applyFill="1" applyBorder="1" applyAlignment="1">
      <alignment horizontal="right" wrapText="1" readingOrder="1"/>
    </xf>
    <xf numFmtId="164" fontId="171" fillId="172" borderId="171" xfId="0" applyNumberFormat="1" applyFont="1" applyFill="1" applyBorder="1" applyAlignment="1">
      <alignment horizontal="right" wrapText="1" readingOrder="1"/>
    </xf>
    <xf numFmtId="164" fontId="172" fillId="173" borderId="172" xfId="0" applyNumberFormat="1" applyFont="1" applyFill="1" applyBorder="1" applyAlignment="1">
      <alignment horizontal="right" wrapText="1" readingOrder="1"/>
    </xf>
    <xf numFmtId="164" fontId="173" fillId="174" borderId="173" xfId="0" applyNumberFormat="1" applyFont="1" applyFill="1" applyBorder="1" applyAlignment="1">
      <alignment horizontal="right" wrapText="1" readingOrder="1"/>
    </xf>
    <xf numFmtId="164" fontId="174" fillId="175" borderId="174" xfId="0" applyNumberFormat="1" applyFont="1" applyFill="1" applyBorder="1" applyAlignment="1">
      <alignment horizontal="right" wrapText="1" readingOrder="1"/>
    </xf>
    <xf numFmtId="164" fontId="175" fillId="176" borderId="175" xfId="0" applyNumberFormat="1" applyFont="1" applyFill="1" applyBorder="1" applyAlignment="1">
      <alignment horizontal="right" wrapText="1" readingOrder="1"/>
    </xf>
    <xf numFmtId="164" fontId="176" fillId="177" borderId="176" xfId="0" applyNumberFormat="1" applyFont="1" applyFill="1" applyBorder="1" applyAlignment="1">
      <alignment horizontal="right" wrapText="1" readingOrder="1"/>
    </xf>
    <xf numFmtId="164" fontId="177" fillId="178" borderId="177" xfId="0" applyNumberFormat="1" applyFont="1" applyFill="1" applyBorder="1" applyAlignment="1">
      <alignment horizontal="right" wrapText="1" readingOrder="1"/>
    </xf>
    <xf numFmtId="164" fontId="178" fillId="179" borderId="178" xfId="0" applyNumberFormat="1" applyFont="1" applyFill="1" applyBorder="1" applyAlignment="1">
      <alignment horizontal="right" wrapText="1" readingOrder="1"/>
    </xf>
    <xf numFmtId="164" fontId="179" fillId="180" borderId="179" xfId="0" applyNumberFormat="1" applyFont="1" applyFill="1" applyBorder="1" applyAlignment="1">
      <alignment horizontal="right" wrapText="1" readingOrder="1"/>
    </xf>
    <xf numFmtId="164" fontId="180" fillId="181" borderId="180" xfId="0" applyNumberFormat="1" applyFont="1" applyFill="1" applyBorder="1" applyAlignment="1">
      <alignment horizontal="right" wrapText="1" readingOrder="1"/>
    </xf>
    <xf numFmtId="0" fontId="181" fillId="182" borderId="181" xfId="0" applyFont="1" applyFill="1" applyBorder="1" applyAlignment="1">
      <alignment horizontal="left" vertical="top" wrapText="1" readingOrder="1"/>
    </xf>
    <xf numFmtId="0" fontId="182" fillId="183" borderId="182" xfId="0" applyFont="1" applyFill="1" applyBorder="1" applyAlignment="1">
      <alignment horizontal="right" wrapText="1" readingOrder="1"/>
    </xf>
    <xf numFmtId="0" fontId="183" fillId="184" borderId="183" xfId="0" applyFont="1" applyFill="1" applyBorder="1" applyAlignment="1">
      <alignment horizontal="right" wrapText="1" readingOrder="1"/>
    </xf>
    <xf numFmtId="0" fontId="184" fillId="185" borderId="184" xfId="0" applyFont="1" applyFill="1" applyBorder="1" applyAlignment="1">
      <alignment horizontal="right" wrapText="1" readingOrder="1"/>
    </xf>
    <xf numFmtId="0" fontId="185" fillId="186" borderId="185" xfId="0" applyFont="1" applyFill="1" applyBorder="1" applyAlignment="1">
      <alignment horizontal="right" wrapText="1" readingOrder="1"/>
    </xf>
    <xf numFmtId="0" fontId="186" fillId="187" borderId="186" xfId="0" applyFont="1" applyFill="1" applyBorder="1" applyAlignment="1">
      <alignment horizontal="right" wrapText="1" readingOrder="1"/>
    </xf>
    <xf numFmtId="0" fontId="187" fillId="188" borderId="187" xfId="0" applyFont="1" applyFill="1" applyBorder="1" applyAlignment="1">
      <alignment horizontal="right" wrapText="1" readingOrder="1"/>
    </xf>
    <xf numFmtId="0" fontId="188" fillId="189" borderId="188" xfId="0" applyFont="1" applyFill="1" applyBorder="1" applyAlignment="1">
      <alignment horizontal="right" wrapText="1" readingOrder="1"/>
    </xf>
    <xf numFmtId="0" fontId="189" fillId="190" borderId="189" xfId="0" applyFont="1" applyFill="1" applyBorder="1" applyAlignment="1">
      <alignment horizontal="right" wrapText="1" readingOrder="1"/>
    </xf>
    <xf numFmtId="0" fontId="190" fillId="191" borderId="190" xfId="0" applyFont="1" applyFill="1" applyBorder="1" applyAlignment="1">
      <alignment horizontal="right" wrapText="1" readingOrder="1"/>
    </xf>
    <xf numFmtId="0" fontId="191" fillId="192" borderId="191" xfId="0" applyFont="1" applyFill="1" applyBorder="1" applyAlignment="1">
      <alignment horizontal="right" wrapText="1" readingOrder="1"/>
    </xf>
    <xf numFmtId="0" fontId="192" fillId="193" borderId="192" xfId="0" applyFont="1" applyFill="1" applyBorder="1" applyAlignment="1">
      <alignment horizontal="right" wrapText="1" readingOrder="1"/>
    </xf>
    <xf numFmtId="164" fontId="193" fillId="194" borderId="193" xfId="0" applyNumberFormat="1" applyFont="1" applyFill="1" applyBorder="1" applyAlignment="1">
      <alignment horizontal="right" wrapText="1" readingOrder="1"/>
    </xf>
    <xf numFmtId="164" fontId="194" fillId="195" borderId="194" xfId="0" applyNumberFormat="1" applyFont="1" applyFill="1" applyBorder="1" applyAlignment="1">
      <alignment horizontal="right" wrapText="1" readingOrder="1"/>
    </xf>
    <xf numFmtId="164" fontId="195" fillId="196" borderId="195" xfId="0" applyNumberFormat="1" applyFont="1" applyFill="1" applyBorder="1" applyAlignment="1">
      <alignment horizontal="right" wrapText="1" readingOrder="1"/>
    </xf>
    <xf numFmtId="164" fontId="196" fillId="197" borderId="196" xfId="0" applyNumberFormat="1" applyFont="1" applyFill="1" applyBorder="1" applyAlignment="1">
      <alignment horizontal="right" wrapText="1" readingOrder="1"/>
    </xf>
    <xf numFmtId="0" fontId="197" fillId="198" borderId="197" xfId="0" applyFont="1" applyFill="1" applyBorder="1" applyAlignment="1">
      <alignment horizontal="left" vertical="top" wrapText="1" readingOrder="1"/>
    </xf>
    <xf numFmtId="164" fontId="198" fillId="199" borderId="198" xfId="0" applyNumberFormat="1" applyFont="1" applyFill="1" applyBorder="1" applyAlignment="1">
      <alignment horizontal="right" wrapText="1" readingOrder="1"/>
    </xf>
    <xf numFmtId="164" fontId="199" fillId="200" borderId="199" xfId="0" applyNumberFormat="1" applyFont="1" applyFill="1" applyBorder="1" applyAlignment="1">
      <alignment horizontal="right" wrapText="1" readingOrder="1"/>
    </xf>
    <xf numFmtId="164" fontId="200" fillId="201" borderId="200" xfId="0" applyNumberFormat="1" applyFont="1" applyFill="1" applyBorder="1" applyAlignment="1">
      <alignment horizontal="right" wrapText="1" readingOrder="1"/>
    </xf>
    <xf numFmtId="164" fontId="201" fillId="202" borderId="201" xfId="0" applyNumberFormat="1" applyFont="1" applyFill="1" applyBorder="1" applyAlignment="1">
      <alignment horizontal="right" wrapText="1" readingOrder="1"/>
    </xf>
    <xf numFmtId="164" fontId="202" fillId="203" borderId="202" xfId="0" applyNumberFormat="1" applyFont="1" applyFill="1" applyBorder="1" applyAlignment="1">
      <alignment horizontal="right" wrapText="1" readingOrder="1"/>
    </xf>
    <xf numFmtId="164" fontId="203" fillId="204" borderId="203" xfId="0" applyNumberFormat="1" applyFont="1" applyFill="1" applyBorder="1" applyAlignment="1">
      <alignment horizontal="right" wrapText="1" readingOrder="1"/>
    </xf>
    <xf numFmtId="164" fontId="204" fillId="205" borderId="204" xfId="0" applyNumberFormat="1" applyFont="1" applyFill="1" applyBorder="1" applyAlignment="1">
      <alignment horizontal="right" wrapText="1" readingOrder="1"/>
    </xf>
    <xf numFmtId="164" fontId="205" fillId="206" borderId="205" xfId="0" applyNumberFormat="1" applyFont="1" applyFill="1" applyBorder="1" applyAlignment="1">
      <alignment horizontal="right" wrapText="1" readingOrder="1"/>
    </xf>
    <xf numFmtId="164" fontId="206" fillId="207" borderId="206" xfId="0" applyNumberFormat="1" applyFont="1" applyFill="1" applyBorder="1" applyAlignment="1">
      <alignment horizontal="right" wrapText="1" readingOrder="1"/>
    </xf>
    <xf numFmtId="164" fontId="207" fillId="208" borderId="207" xfId="0" applyNumberFormat="1" applyFont="1" applyFill="1" applyBorder="1" applyAlignment="1">
      <alignment horizontal="right" wrapText="1" readingOrder="1"/>
    </xf>
    <xf numFmtId="164" fontId="208" fillId="209" borderId="208" xfId="0" applyNumberFormat="1" applyFont="1" applyFill="1" applyBorder="1" applyAlignment="1">
      <alignment horizontal="right" wrapText="1" readingOrder="1"/>
    </xf>
    <xf numFmtId="164" fontId="209" fillId="210" borderId="209" xfId="0" applyNumberFormat="1" applyFont="1" applyFill="1" applyBorder="1" applyAlignment="1">
      <alignment horizontal="right" wrapText="1" readingOrder="1"/>
    </xf>
    <xf numFmtId="164" fontId="210" fillId="211" borderId="210" xfId="0" applyNumberFormat="1" applyFont="1" applyFill="1" applyBorder="1" applyAlignment="1">
      <alignment horizontal="right" wrapText="1" readingOrder="1"/>
    </xf>
    <xf numFmtId="164" fontId="211" fillId="212" borderId="211" xfId="0" applyNumberFormat="1" applyFont="1" applyFill="1" applyBorder="1" applyAlignment="1">
      <alignment horizontal="right" wrapText="1" readingOrder="1"/>
    </xf>
    <xf numFmtId="164" fontId="212" fillId="213" borderId="212" xfId="0" applyNumberFormat="1" applyFont="1" applyFill="1" applyBorder="1" applyAlignment="1">
      <alignment horizontal="right" wrapText="1" readingOrder="1"/>
    </xf>
    <xf numFmtId="0" fontId="213" fillId="214" borderId="213" xfId="0" applyFont="1" applyFill="1" applyBorder="1" applyAlignment="1">
      <alignment horizontal="left" vertical="top" wrapText="1" readingOrder="1"/>
    </xf>
    <xf numFmtId="164" fontId="214" fillId="215" borderId="214" xfId="0" applyNumberFormat="1" applyFont="1" applyFill="1" applyBorder="1" applyAlignment="1">
      <alignment horizontal="right" wrapText="1" readingOrder="1"/>
    </xf>
    <xf numFmtId="164" fontId="215" fillId="216" borderId="215" xfId="0" applyNumberFormat="1" applyFont="1" applyFill="1" applyBorder="1" applyAlignment="1">
      <alignment horizontal="right" wrapText="1" readingOrder="1"/>
    </xf>
    <xf numFmtId="164" fontId="216" fillId="217" borderId="216" xfId="0" applyNumberFormat="1" applyFont="1" applyFill="1" applyBorder="1" applyAlignment="1">
      <alignment horizontal="right" wrapText="1" readingOrder="1"/>
    </xf>
    <xf numFmtId="164" fontId="217" fillId="218" borderId="217" xfId="0" applyNumberFormat="1" applyFont="1" applyFill="1" applyBorder="1" applyAlignment="1">
      <alignment horizontal="right" wrapText="1" readingOrder="1"/>
    </xf>
    <xf numFmtId="164" fontId="218" fillId="219" borderId="218" xfId="0" applyNumberFormat="1" applyFont="1" applyFill="1" applyBorder="1" applyAlignment="1">
      <alignment horizontal="right" wrapText="1" readingOrder="1"/>
    </xf>
    <xf numFmtId="164" fontId="219" fillId="220" borderId="219" xfId="0" applyNumberFormat="1" applyFont="1" applyFill="1" applyBorder="1" applyAlignment="1">
      <alignment horizontal="right" wrapText="1" readingOrder="1"/>
    </xf>
    <xf numFmtId="164" fontId="220" fillId="221" borderId="220" xfId="0" applyNumberFormat="1" applyFont="1" applyFill="1" applyBorder="1" applyAlignment="1">
      <alignment horizontal="right" wrapText="1" readingOrder="1"/>
    </xf>
    <xf numFmtId="164" fontId="221" fillId="222" borderId="221" xfId="0" applyNumberFormat="1" applyFont="1" applyFill="1" applyBorder="1" applyAlignment="1">
      <alignment horizontal="right" wrapText="1" readingOrder="1"/>
    </xf>
    <xf numFmtId="164" fontId="222" fillId="223" borderId="222" xfId="0" applyNumberFormat="1" applyFont="1" applyFill="1" applyBorder="1" applyAlignment="1">
      <alignment horizontal="right" wrapText="1" readingOrder="1"/>
    </xf>
    <xf numFmtId="164" fontId="223" fillId="224" borderId="223" xfId="0" applyNumberFormat="1" applyFont="1" applyFill="1" applyBorder="1" applyAlignment="1">
      <alignment horizontal="right" wrapText="1" readingOrder="1"/>
    </xf>
    <xf numFmtId="164" fontId="224" fillId="225" borderId="224" xfId="0" applyNumberFormat="1" applyFont="1" applyFill="1" applyBorder="1" applyAlignment="1">
      <alignment horizontal="right" wrapText="1" readingOrder="1"/>
    </xf>
    <xf numFmtId="164" fontId="225" fillId="226" borderId="225" xfId="0" applyNumberFormat="1" applyFont="1" applyFill="1" applyBorder="1" applyAlignment="1">
      <alignment horizontal="right" wrapText="1" readingOrder="1"/>
    </xf>
    <xf numFmtId="164" fontId="226" fillId="227" borderId="226" xfId="0" applyNumberFormat="1" applyFont="1" applyFill="1" applyBorder="1" applyAlignment="1">
      <alignment horizontal="right" wrapText="1" readingOrder="1"/>
    </xf>
    <xf numFmtId="164" fontId="227" fillId="228" borderId="227" xfId="0" applyNumberFormat="1" applyFont="1" applyFill="1" applyBorder="1" applyAlignment="1">
      <alignment horizontal="right" wrapText="1" readingOrder="1"/>
    </xf>
    <xf numFmtId="164" fontId="228" fillId="229" borderId="228" xfId="0" applyNumberFormat="1" applyFont="1" applyFill="1" applyBorder="1" applyAlignment="1">
      <alignment horizontal="right" wrapText="1" readingOrder="1"/>
    </xf>
    <xf numFmtId="0" fontId="229" fillId="230" borderId="229" xfId="0" applyFont="1" applyFill="1" applyBorder="1" applyAlignment="1">
      <alignment horizontal="left" vertical="top" wrapText="1" readingOrder="1"/>
    </xf>
    <xf numFmtId="164" fontId="230" fillId="231" borderId="230" xfId="0" applyNumberFormat="1" applyFont="1" applyFill="1" applyBorder="1" applyAlignment="1">
      <alignment horizontal="right" wrapText="1" readingOrder="1"/>
    </xf>
    <xf numFmtId="164" fontId="231" fillId="232" borderId="231" xfId="0" applyNumberFormat="1" applyFont="1" applyFill="1" applyBorder="1" applyAlignment="1">
      <alignment horizontal="right" wrapText="1" readingOrder="1"/>
    </xf>
    <xf numFmtId="164" fontId="232" fillId="233" borderId="232" xfId="0" applyNumberFormat="1" applyFont="1" applyFill="1" applyBorder="1" applyAlignment="1">
      <alignment horizontal="right" wrapText="1" readingOrder="1"/>
    </xf>
    <xf numFmtId="164" fontId="233" fillId="234" borderId="233" xfId="0" applyNumberFormat="1" applyFont="1" applyFill="1" applyBorder="1" applyAlignment="1">
      <alignment horizontal="right" wrapText="1" readingOrder="1"/>
    </xf>
    <xf numFmtId="164" fontId="234" fillId="235" borderId="234" xfId="0" applyNumberFormat="1" applyFont="1" applyFill="1" applyBorder="1" applyAlignment="1">
      <alignment horizontal="right" wrapText="1" readingOrder="1"/>
    </xf>
    <xf numFmtId="164" fontId="235" fillId="236" borderId="235" xfId="0" applyNumberFormat="1" applyFont="1" applyFill="1" applyBorder="1" applyAlignment="1">
      <alignment horizontal="right" wrapText="1" readingOrder="1"/>
    </xf>
    <xf numFmtId="164" fontId="236" fillId="237" borderId="236" xfId="0" applyNumberFormat="1" applyFont="1" applyFill="1" applyBorder="1" applyAlignment="1">
      <alignment horizontal="right" wrapText="1" readingOrder="1"/>
    </xf>
    <xf numFmtId="164" fontId="237" fillId="238" borderId="237" xfId="0" applyNumberFormat="1" applyFont="1" applyFill="1" applyBorder="1" applyAlignment="1">
      <alignment horizontal="right" wrapText="1" readingOrder="1"/>
    </xf>
    <xf numFmtId="164" fontId="238" fillId="239" borderId="238" xfId="0" applyNumberFormat="1" applyFont="1" applyFill="1" applyBorder="1" applyAlignment="1">
      <alignment horizontal="right" wrapText="1" readingOrder="1"/>
    </xf>
    <xf numFmtId="164" fontId="239" fillId="240" borderId="239" xfId="0" applyNumberFormat="1" applyFont="1" applyFill="1" applyBorder="1" applyAlignment="1">
      <alignment horizontal="right" wrapText="1" readingOrder="1"/>
    </xf>
    <xf numFmtId="164" fontId="240" fillId="241" borderId="240" xfId="0" applyNumberFormat="1" applyFont="1" applyFill="1" applyBorder="1" applyAlignment="1">
      <alignment horizontal="right" wrapText="1" readingOrder="1"/>
    </xf>
    <xf numFmtId="164" fontId="241" fillId="242" borderId="241" xfId="0" applyNumberFormat="1" applyFont="1" applyFill="1" applyBorder="1" applyAlignment="1">
      <alignment horizontal="right" wrapText="1" readingOrder="1"/>
    </xf>
    <xf numFmtId="164" fontId="242" fillId="243" borderId="242" xfId="0" applyNumberFormat="1" applyFont="1" applyFill="1" applyBorder="1" applyAlignment="1">
      <alignment horizontal="right" wrapText="1" readingOrder="1"/>
    </xf>
    <xf numFmtId="164" fontId="243" fillId="244" borderId="243" xfId="0" applyNumberFormat="1" applyFont="1" applyFill="1" applyBorder="1" applyAlignment="1">
      <alignment horizontal="right" wrapText="1" readingOrder="1"/>
    </xf>
    <xf numFmtId="164" fontId="244" fillId="245" borderId="244" xfId="0" applyNumberFormat="1" applyFont="1" applyFill="1" applyBorder="1" applyAlignment="1">
      <alignment horizontal="right" wrapText="1" readingOrder="1"/>
    </xf>
    <xf numFmtId="0" fontId="245" fillId="246" borderId="245" xfId="0" applyFont="1" applyFill="1" applyBorder="1" applyAlignment="1">
      <alignment horizontal="left" vertical="top" wrapText="1" readingOrder="1"/>
    </xf>
    <xf numFmtId="164" fontId="246" fillId="247" borderId="246" xfId="0" applyNumberFormat="1" applyFont="1" applyFill="1" applyBorder="1" applyAlignment="1">
      <alignment horizontal="right" wrapText="1" readingOrder="1"/>
    </xf>
    <xf numFmtId="164" fontId="247" fillId="248" borderId="247" xfId="0" applyNumberFormat="1" applyFont="1" applyFill="1" applyBorder="1" applyAlignment="1">
      <alignment horizontal="right" wrapText="1" readingOrder="1"/>
    </xf>
    <xf numFmtId="164" fontId="248" fillId="249" borderId="248" xfId="0" applyNumberFormat="1" applyFont="1" applyFill="1" applyBorder="1" applyAlignment="1">
      <alignment horizontal="right" wrapText="1" readingOrder="1"/>
    </xf>
    <xf numFmtId="164" fontId="249" fillId="250" borderId="249" xfId="0" applyNumberFormat="1" applyFont="1" applyFill="1" applyBorder="1" applyAlignment="1">
      <alignment horizontal="right" wrapText="1" readingOrder="1"/>
    </xf>
    <xf numFmtId="164" fontId="250" fillId="251" borderId="250" xfId="0" applyNumberFormat="1" applyFont="1" applyFill="1" applyBorder="1" applyAlignment="1">
      <alignment horizontal="right" wrapText="1" readingOrder="1"/>
    </xf>
    <xf numFmtId="164" fontId="251" fillId="252" borderId="251" xfId="0" applyNumberFormat="1" applyFont="1" applyFill="1" applyBorder="1" applyAlignment="1">
      <alignment horizontal="right" wrapText="1" readingOrder="1"/>
    </xf>
    <xf numFmtId="164" fontId="252" fillId="253" borderId="252" xfId="0" applyNumberFormat="1" applyFont="1" applyFill="1" applyBorder="1" applyAlignment="1">
      <alignment horizontal="right" wrapText="1" readingOrder="1"/>
    </xf>
    <xf numFmtId="164" fontId="253" fillId="254" borderId="253" xfId="0" applyNumberFormat="1" applyFont="1" applyFill="1" applyBorder="1" applyAlignment="1">
      <alignment horizontal="right" wrapText="1" readingOrder="1"/>
    </xf>
    <xf numFmtId="164" fontId="254" fillId="255" borderId="254" xfId="0" applyNumberFormat="1" applyFont="1" applyFill="1" applyBorder="1" applyAlignment="1">
      <alignment horizontal="right" wrapText="1" readingOrder="1"/>
    </xf>
    <xf numFmtId="164" fontId="255" fillId="256" borderId="255" xfId="0" applyNumberFormat="1" applyFont="1" applyFill="1" applyBorder="1" applyAlignment="1">
      <alignment horizontal="right" wrapText="1" readingOrder="1"/>
    </xf>
    <xf numFmtId="164" fontId="256" fillId="257" borderId="256" xfId="0" applyNumberFormat="1" applyFont="1" applyFill="1" applyBorder="1" applyAlignment="1">
      <alignment horizontal="right" wrapText="1" readingOrder="1"/>
    </xf>
    <xf numFmtId="164" fontId="257" fillId="258" borderId="257" xfId="0" applyNumberFormat="1" applyFont="1" applyFill="1" applyBorder="1" applyAlignment="1">
      <alignment horizontal="right" wrapText="1" readingOrder="1"/>
    </xf>
    <xf numFmtId="164" fontId="258" fillId="259" borderId="258" xfId="0" applyNumberFormat="1" applyFont="1" applyFill="1" applyBorder="1" applyAlignment="1">
      <alignment horizontal="right" wrapText="1" readingOrder="1"/>
    </xf>
    <xf numFmtId="164" fontId="259" fillId="260" borderId="259" xfId="0" applyNumberFormat="1" applyFont="1" applyFill="1" applyBorder="1" applyAlignment="1">
      <alignment horizontal="right" wrapText="1" readingOrder="1"/>
    </xf>
    <xf numFmtId="164"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164" fontId="262" fillId="263" borderId="262" xfId="0" applyNumberFormat="1" applyFont="1" applyFill="1" applyBorder="1" applyAlignment="1">
      <alignment horizontal="right" wrapText="1" readingOrder="1"/>
    </xf>
    <xf numFmtId="164" fontId="263" fillId="264" borderId="263" xfId="0" applyNumberFormat="1" applyFont="1" applyFill="1" applyBorder="1" applyAlignment="1">
      <alignment horizontal="right" wrapText="1" readingOrder="1"/>
    </xf>
    <xf numFmtId="164" fontId="264" fillId="265" borderId="264" xfId="0" applyNumberFormat="1" applyFont="1" applyFill="1" applyBorder="1" applyAlignment="1">
      <alignment horizontal="right" wrapText="1" readingOrder="1"/>
    </xf>
    <xf numFmtId="164" fontId="265" fillId="266" borderId="265" xfId="0" applyNumberFormat="1" applyFont="1" applyFill="1" applyBorder="1" applyAlignment="1">
      <alignment horizontal="right" wrapText="1" readingOrder="1"/>
    </xf>
    <xf numFmtId="164" fontId="266" fillId="267" borderId="266" xfId="0" applyNumberFormat="1" applyFont="1" applyFill="1" applyBorder="1" applyAlignment="1">
      <alignment horizontal="right" wrapText="1" readingOrder="1"/>
    </xf>
    <xf numFmtId="164" fontId="267" fillId="268" borderId="267" xfId="0" applyNumberFormat="1" applyFont="1" applyFill="1" applyBorder="1" applyAlignment="1">
      <alignment horizontal="right" wrapText="1" readingOrder="1"/>
    </xf>
    <xf numFmtId="164" fontId="268" fillId="269" borderId="268" xfId="0" applyNumberFormat="1" applyFont="1" applyFill="1" applyBorder="1" applyAlignment="1">
      <alignment horizontal="right" wrapText="1" readingOrder="1"/>
    </xf>
    <xf numFmtId="164" fontId="269" fillId="270" borderId="269" xfId="0" applyNumberFormat="1" applyFont="1" applyFill="1" applyBorder="1" applyAlignment="1">
      <alignment horizontal="right" wrapText="1" readingOrder="1"/>
    </xf>
    <xf numFmtId="164" fontId="270" fillId="271" borderId="270" xfId="0" applyNumberFormat="1" applyFont="1" applyFill="1" applyBorder="1" applyAlignment="1">
      <alignment horizontal="right" wrapText="1" readingOrder="1"/>
    </xf>
    <xf numFmtId="164" fontId="271" fillId="272" borderId="271" xfId="0" applyNumberFormat="1" applyFont="1" applyFill="1" applyBorder="1" applyAlignment="1">
      <alignment horizontal="right" wrapText="1" readingOrder="1"/>
    </xf>
    <xf numFmtId="164" fontId="272" fillId="273" borderId="272" xfId="0" applyNumberFormat="1" applyFont="1" applyFill="1" applyBorder="1" applyAlignment="1">
      <alignment horizontal="right" wrapText="1" readingOrder="1"/>
    </xf>
    <xf numFmtId="164" fontId="273" fillId="274" borderId="273" xfId="0" applyNumberFormat="1" applyFont="1" applyFill="1" applyBorder="1" applyAlignment="1">
      <alignment horizontal="right" wrapText="1" readingOrder="1"/>
    </xf>
    <xf numFmtId="164" fontId="274" fillId="275" borderId="274" xfId="0" applyNumberFormat="1" applyFont="1" applyFill="1" applyBorder="1" applyAlignment="1">
      <alignment horizontal="right" wrapText="1" readingOrder="1"/>
    </xf>
    <xf numFmtId="164" fontId="275" fillId="276" borderId="275" xfId="0" applyNumberFormat="1" applyFont="1" applyFill="1" applyBorder="1" applyAlignment="1">
      <alignment horizontal="right" wrapText="1" readingOrder="1"/>
    </xf>
    <xf numFmtId="164" fontId="276" fillId="277" borderId="276" xfId="0" applyNumberFormat="1" applyFont="1" applyFill="1" applyBorder="1" applyAlignment="1">
      <alignment horizontal="right" wrapText="1" readingOrder="1"/>
    </xf>
    <xf numFmtId="0" fontId="277" fillId="278" borderId="277" xfId="0" applyFont="1" applyFill="1" applyBorder="1" applyAlignment="1">
      <alignment horizontal="left" vertical="top" wrapText="1" readingOrder="1"/>
    </xf>
    <xf numFmtId="164" fontId="278" fillId="279" borderId="278" xfId="0" applyNumberFormat="1" applyFont="1" applyFill="1" applyBorder="1" applyAlignment="1">
      <alignment horizontal="right" wrapText="1" readingOrder="1"/>
    </xf>
    <xf numFmtId="164" fontId="279" fillId="280" borderId="279" xfId="0" applyNumberFormat="1" applyFont="1" applyFill="1" applyBorder="1" applyAlignment="1">
      <alignment horizontal="right" wrapText="1" readingOrder="1"/>
    </xf>
    <xf numFmtId="164" fontId="280" fillId="281" borderId="280" xfId="0" applyNumberFormat="1" applyFont="1" applyFill="1" applyBorder="1" applyAlignment="1">
      <alignment horizontal="right" wrapText="1" readingOrder="1"/>
    </xf>
    <xf numFmtId="164" fontId="281" fillId="282" borderId="281" xfId="0" applyNumberFormat="1" applyFont="1" applyFill="1" applyBorder="1" applyAlignment="1">
      <alignment horizontal="right" wrapText="1" readingOrder="1"/>
    </xf>
    <xf numFmtId="164" fontId="282" fillId="283" borderId="282" xfId="0" applyNumberFormat="1" applyFont="1" applyFill="1" applyBorder="1" applyAlignment="1">
      <alignment horizontal="right" wrapText="1" readingOrder="1"/>
    </xf>
    <xf numFmtId="164" fontId="283" fillId="284" borderId="283" xfId="0" applyNumberFormat="1" applyFont="1" applyFill="1" applyBorder="1" applyAlignment="1">
      <alignment horizontal="right" wrapText="1" readingOrder="1"/>
    </xf>
    <xf numFmtId="164" fontId="284" fillId="285" borderId="284" xfId="0" applyNumberFormat="1" applyFont="1" applyFill="1" applyBorder="1" applyAlignment="1">
      <alignment horizontal="right" wrapText="1" readingOrder="1"/>
    </xf>
    <xf numFmtId="164" fontId="285" fillId="286" borderId="285" xfId="0" applyNumberFormat="1" applyFont="1" applyFill="1" applyBorder="1" applyAlignment="1">
      <alignment horizontal="right" wrapText="1" readingOrder="1"/>
    </xf>
    <xf numFmtId="164" fontId="286" fillId="287" borderId="286" xfId="0" applyNumberFormat="1" applyFont="1" applyFill="1" applyBorder="1" applyAlignment="1">
      <alignment horizontal="right" wrapText="1" readingOrder="1"/>
    </xf>
    <xf numFmtId="164" fontId="287" fillId="288" borderId="287" xfId="0" applyNumberFormat="1" applyFont="1" applyFill="1" applyBorder="1" applyAlignment="1">
      <alignment horizontal="right" wrapText="1" readingOrder="1"/>
    </xf>
    <xf numFmtId="164" fontId="288" fillId="289" borderId="288" xfId="0" applyNumberFormat="1" applyFont="1" applyFill="1" applyBorder="1" applyAlignment="1">
      <alignment horizontal="right" wrapText="1" readingOrder="1"/>
    </xf>
    <xf numFmtId="164" fontId="289" fillId="290" borderId="289" xfId="0" applyNumberFormat="1" applyFont="1" applyFill="1" applyBorder="1" applyAlignment="1">
      <alignment horizontal="right" wrapText="1" readingOrder="1"/>
    </xf>
    <xf numFmtId="0" fontId="290" fillId="291" borderId="290" xfId="0" applyFont="1" applyFill="1" applyBorder="1" applyAlignment="1">
      <alignment horizontal="right" wrapText="1" readingOrder="1"/>
    </xf>
    <xf numFmtId="0" fontId="291" fillId="292" borderId="291" xfId="0" applyFont="1" applyFill="1" applyBorder="1" applyAlignment="1">
      <alignment horizontal="right" wrapText="1" readingOrder="1"/>
    </xf>
    <xf numFmtId="0" fontId="292" fillId="293" borderId="292" xfId="0" applyFont="1" applyFill="1" applyBorder="1" applyAlignment="1">
      <alignment horizontal="right" wrapText="1" readingOrder="1"/>
    </xf>
    <xf numFmtId="0" fontId="293" fillId="294" borderId="293" xfId="0" applyFont="1" applyFill="1" applyBorder="1" applyAlignment="1">
      <alignment horizontal="left" vertical="top" wrapText="1" readingOrder="1"/>
    </xf>
    <xf numFmtId="164" fontId="294" fillId="295" borderId="294" xfId="0" applyNumberFormat="1" applyFont="1" applyFill="1" applyBorder="1" applyAlignment="1">
      <alignment horizontal="right" wrapText="1" readingOrder="1"/>
    </xf>
    <xf numFmtId="164" fontId="295" fillId="296" borderId="295" xfId="0" applyNumberFormat="1" applyFont="1" applyFill="1" applyBorder="1" applyAlignment="1">
      <alignment horizontal="right" wrapText="1" readingOrder="1"/>
    </xf>
    <xf numFmtId="164" fontId="296" fillId="297" borderId="296" xfId="0" applyNumberFormat="1" applyFont="1" applyFill="1" applyBorder="1" applyAlignment="1">
      <alignment horizontal="right" wrapText="1" readingOrder="1"/>
    </xf>
    <xf numFmtId="164" fontId="297" fillId="298" borderId="297" xfId="0" applyNumberFormat="1" applyFont="1" applyFill="1" applyBorder="1" applyAlignment="1">
      <alignment horizontal="right" wrapText="1" readingOrder="1"/>
    </xf>
    <xf numFmtId="164" fontId="298" fillId="299" borderId="298" xfId="0" applyNumberFormat="1" applyFont="1" applyFill="1" applyBorder="1" applyAlignment="1">
      <alignment horizontal="right" wrapText="1" readingOrder="1"/>
    </xf>
    <xf numFmtId="164" fontId="299" fillId="300" borderId="299" xfId="0" applyNumberFormat="1" applyFont="1" applyFill="1" applyBorder="1" applyAlignment="1">
      <alignment horizontal="right" wrapText="1" readingOrder="1"/>
    </xf>
    <xf numFmtId="164" fontId="300" fillId="301" borderId="300" xfId="0" applyNumberFormat="1" applyFont="1" applyFill="1" applyBorder="1" applyAlignment="1">
      <alignment horizontal="right" wrapText="1" readingOrder="1"/>
    </xf>
    <xf numFmtId="164" fontId="301" fillId="302" borderId="301" xfId="0" applyNumberFormat="1" applyFont="1" applyFill="1" applyBorder="1" applyAlignment="1">
      <alignment horizontal="right" wrapText="1" readingOrder="1"/>
    </xf>
    <xf numFmtId="164" fontId="302" fillId="303" borderId="302" xfId="0" applyNumberFormat="1" applyFont="1" applyFill="1" applyBorder="1" applyAlignment="1">
      <alignment horizontal="right" wrapText="1" readingOrder="1"/>
    </xf>
    <xf numFmtId="164" fontId="303" fillId="304" borderId="303" xfId="0" applyNumberFormat="1" applyFont="1" applyFill="1" applyBorder="1" applyAlignment="1">
      <alignment horizontal="right" wrapText="1" readingOrder="1"/>
    </xf>
    <xf numFmtId="164" fontId="304" fillId="305" borderId="304" xfId="0" applyNumberFormat="1" applyFont="1" applyFill="1" applyBorder="1" applyAlignment="1">
      <alignment horizontal="right" wrapText="1" readingOrder="1"/>
    </xf>
    <xf numFmtId="164" fontId="305" fillId="306" borderId="305" xfId="0" applyNumberFormat="1" applyFont="1" applyFill="1" applyBorder="1" applyAlignment="1">
      <alignment horizontal="right" wrapText="1" readingOrder="1"/>
    </xf>
    <xf numFmtId="164" fontId="306" fillId="307" borderId="306" xfId="0" applyNumberFormat="1" applyFont="1" applyFill="1" applyBorder="1" applyAlignment="1">
      <alignment horizontal="right" wrapText="1" readingOrder="1"/>
    </xf>
    <xf numFmtId="164" fontId="307" fillId="308" borderId="307" xfId="0" applyNumberFormat="1" applyFont="1" applyFill="1" applyBorder="1" applyAlignment="1">
      <alignment horizontal="right" wrapText="1" readingOrder="1"/>
    </xf>
    <xf numFmtId="164" fontId="308" fillId="309" borderId="308" xfId="0" applyNumberFormat="1" applyFont="1" applyFill="1" applyBorder="1" applyAlignment="1">
      <alignment horizontal="right" wrapText="1" readingOrder="1"/>
    </xf>
    <xf numFmtId="0" fontId="309" fillId="310" borderId="309" xfId="0" applyFont="1" applyFill="1" applyBorder="1" applyAlignment="1">
      <alignment horizontal="left" vertical="top" wrapText="1" readingOrder="1"/>
    </xf>
    <xf numFmtId="164" fontId="310" fillId="311" borderId="310" xfId="0" applyNumberFormat="1" applyFont="1" applyFill="1" applyBorder="1" applyAlignment="1">
      <alignment horizontal="right" wrapText="1" readingOrder="1"/>
    </xf>
    <xf numFmtId="164" fontId="311" fillId="312" borderId="311" xfId="0" applyNumberFormat="1" applyFont="1" applyFill="1" applyBorder="1" applyAlignment="1">
      <alignment horizontal="right" wrapText="1" readingOrder="1"/>
    </xf>
    <xf numFmtId="164" fontId="312" fillId="313" borderId="312" xfId="0" applyNumberFormat="1" applyFont="1" applyFill="1" applyBorder="1" applyAlignment="1">
      <alignment horizontal="right" wrapText="1" readingOrder="1"/>
    </xf>
    <xf numFmtId="164" fontId="313" fillId="314" borderId="313" xfId="0" applyNumberFormat="1" applyFont="1" applyFill="1" applyBorder="1" applyAlignment="1">
      <alignment horizontal="right" wrapText="1" readingOrder="1"/>
    </xf>
    <xf numFmtId="164" fontId="314" fillId="315" borderId="314" xfId="0" applyNumberFormat="1" applyFont="1" applyFill="1" applyBorder="1" applyAlignment="1">
      <alignment horizontal="right" wrapText="1" readingOrder="1"/>
    </xf>
    <xf numFmtId="164" fontId="315" fillId="316" borderId="315" xfId="0" applyNumberFormat="1" applyFont="1" applyFill="1" applyBorder="1" applyAlignment="1">
      <alignment horizontal="right" wrapText="1" readingOrder="1"/>
    </xf>
    <xf numFmtId="164" fontId="316" fillId="317" borderId="316" xfId="0" applyNumberFormat="1" applyFont="1" applyFill="1" applyBorder="1" applyAlignment="1">
      <alignment horizontal="right" wrapText="1" readingOrder="1"/>
    </xf>
    <xf numFmtId="164" fontId="317" fillId="318" borderId="317" xfId="0" applyNumberFormat="1" applyFont="1" applyFill="1" applyBorder="1" applyAlignment="1">
      <alignment horizontal="right" wrapText="1" readingOrder="1"/>
    </xf>
    <xf numFmtId="164" fontId="318" fillId="319" borderId="318" xfId="0" applyNumberFormat="1" applyFont="1" applyFill="1" applyBorder="1" applyAlignment="1">
      <alignment horizontal="right" wrapText="1" readingOrder="1"/>
    </xf>
    <xf numFmtId="164" fontId="319" fillId="320" borderId="319" xfId="0" applyNumberFormat="1" applyFont="1" applyFill="1" applyBorder="1" applyAlignment="1">
      <alignment horizontal="right" wrapText="1" readingOrder="1"/>
    </xf>
    <xf numFmtId="164" fontId="320" fillId="321" borderId="320" xfId="0" applyNumberFormat="1" applyFont="1" applyFill="1" applyBorder="1" applyAlignment="1">
      <alignment horizontal="right" wrapText="1" readingOrder="1"/>
    </xf>
    <xf numFmtId="164" fontId="321" fillId="322" borderId="321" xfId="0" applyNumberFormat="1" applyFont="1" applyFill="1" applyBorder="1" applyAlignment="1">
      <alignment horizontal="right" wrapText="1" readingOrder="1"/>
    </xf>
    <xf numFmtId="164" fontId="322" fillId="323" borderId="322" xfId="0" applyNumberFormat="1" applyFont="1" applyFill="1" applyBorder="1" applyAlignment="1">
      <alignment horizontal="right" wrapText="1" readingOrder="1"/>
    </xf>
    <xf numFmtId="164" fontId="323" fillId="324" borderId="323" xfId="0" applyNumberFormat="1" applyFont="1" applyFill="1" applyBorder="1" applyAlignment="1">
      <alignment horizontal="right" wrapText="1" readingOrder="1"/>
    </xf>
    <xf numFmtId="164" fontId="324" fillId="325" borderId="324" xfId="0" applyNumberFormat="1" applyFont="1" applyFill="1" applyBorder="1" applyAlignment="1">
      <alignment horizontal="right" wrapText="1" readingOrder="1"/>
    </xf>
    <xf numFmtId="0" fontId="325" fillId="326" borderId="325" xfId="0" applyFont="1" applyFill="1" applyBorder="1" applyAlignment="1">
      <alignment horizontal="left" vertical="top" wrapText="1" readingOrder="1"/>
    </xf>
    <xf numFmtId="164" fontId="326" fillId="327" borderId="326" xfId="0" applyNumberFormat="1" applyFont="1" applyFill="1" applyBorder="1" applyAlignment="1">
      <alignment horizontal="right" wrapText="1" readingOrder="1"/>
    </xf>
    <xf numFmtId="164" fontId="327" fillId="328" borderId="327" xfId="0" applyNumberFormat="1" applyFont="1" applyFill="1" applyBorder="1" applyAlignment="1">
      <alignment horizontal="right" wrapText="1" readingOrder="1"/>
    </xf>
    <xf numFmtId="164" fontId="328" fillId="329" borderId="328" xfId="0" applyNumberFormat="1" applyFont="1" applyFill="1" applyBorder="1" applyAlignment="1">
      <alignment horizontal="right" wrapText="1" readingOrder="1"/>
    </xf>
    <xf numFmtId="164" fontId="329" fillId="330" borderId="329" xfId="0" applyNumberFormat="1" applyFont="1" applyFill="1" applyBorder="1" applyAlignment="1">
      <alignment horizontal="right" wrapText="1" readingOrder="1"/>
    </xf>
    <xf numFmtId="164" fontId="330" fillId="331" borderId="330" xfId="0" applyNumberFormat="1" applyFont="1" applyFill="1" applyBorder="1" applyAlignment="1">
      <alignment horizontal="right" wrapText="1" readingOrder="1"/>
    </xf>
    <xf numFmtId="164" fontId="331" fillId="332" borderId="331" xfId="0" applyNumberFormat="1" applyFont="1" applyFill="1" applyBorder="1" applyAlignment="1">
      <alignment horizontal="right" wrapText="1" readingOrder="1"/>
    </xf>
    <xf numFmtId="164" fontId="332" fillId="333" borderId="332" xfId="0" applyNumberFormat="1" applyFont="1" applyFill="1" applyBorder="1" applyAlignment="1">
      <alignment horizontal="right" wrapText="1" readingOrder="1"/>
    </xf>
    <xf numFmtId="164" fontId="333" fillId="334" borderId="333" xfId="0" applyNumberFormat="1" applyFont="1" applyFill="1" applyBorder="1" applyAlignment="1">
      <alignment horizontal="right" wrapText="1" readingOrder="1"/>
    </xf>
    <xf numFmtId="164" fontId="334" fillId="335" borderId="334" xfId="0" applyNumberFormat="1" applyFont="1" applyFill="1" applyBorder="1" applyAlignment="1">
      <alignment horizontal="right" wrapText="1" readingOrder="1"/>
    </xf>
    <xf numFmtId="164" fontId="335" fillId="336" borderId="335" xfId="0" applyNumberFormat="1" applyFont="1" applyFill="1" applyBorder="1" applyAlignment="1">
      <alignment horizontal="right" wrapText="1" readingOrder="1"/>
    </xf>
    <xf numFmtId="164" fontId="336" fillId="337" borderId="336" xfId="0" applyNumberFormat="1" applyFont="1" applyFill="1" applyBorder="1" applyAlignment="1">
      <alignment horizontal="right" wrapText="1" readingOrder="1"/>
    </xf>
    <xf numFmtId="164" fontId="337" fillId="338" borderId="337" xfId="0" applyNumberFormat="1" applyFont="1" applyFill="1" applyBorder="1" applyAlignment="1">
      <alignment horizontal="right" wrapText="1" readingOrder="1"/>
    </xf>
    <xf numFmtId="164" fontId="338" fillId="339" borderId="338" xfId="0" applyNumberFormat="1" applyFont="1" applyFill="1" applyBorder="1" applyAlignment="1">
      <alignment horizontal="right" wrapText="1" readingOrder="1"/>
    </xf>
    <xf numFmtId="164" fontId="339" fillId="340" borderId="339" xfId="0" applyNumberFormat="1" applyFont="1" applyFill="1" applyBorder="1" applyAlignment="1">
      <alignment horizontal="right" wrapText="1" readingOrder="1"/>
    </xf>
    <xf numFmtId="164" fontId="340" fillId="341" borderId="340" xfId="0" applyNumberFormat="1" applyFont="1" applyFill="1" applyBorder="1" applyAlignment="1">
      <alignment horizontal="right" wrapText="1" readingOrder="1"/>
    </xf>
    <xf numFmtId="0" fontId="341" fillId="342" borderId="341" xfId="0" applyFont="1" applyFill="1" applyBorder="1" applyAlignment="1">
      <alignment horizontal="left" vertical="top" wrapText="1" readingOrder="1"/>
    </xf>
    <xf numFmtId="164" fontId="342" fillId="343" borderId="342" xfId="0" applyNumberFormat="1" applyFont="1" applyFill="1" applyBorder="1" applyAlignment="1">
      <alignment horizontal="right" wrapText="1" readingOrder="1"/>
    </xf>
    <xf numFmtId="164" fontId="343" fillId="344" borderId="343" xfId="0" applyNumberFormat="1" applyFont="1" applyFill="1" applyBorder="1" applyAlignment="1">
      <alignment horizontal="right" wrapText="1" readingOrder="1"/>
    </xf>
    <xf numFmtId="164" fontId="344" fillId="345" borderId="344" xfId="0" applyNumberFormat="1" applyFont="1" applyFill="1" applyBorder="1" applyAlignment="1">
      <alignment horizontal="right" wrapText="1" readingOrder="1"/>
    </xf>
    <xf numFmtId="164" fontId="345" fillId="346" borderId="345" xfId="0" applyNumberFormat="1" applyFont="1" applyFill="1" applyBorder="1" applyAlignment="1">
      <alignment horizontal="right" wrapText="1" readingOrder="1"/>
    </xf>
    <xf numFmtId="164" fontId="346" fillId="347" borderId="346" xfId="0" applyNumberFormat="1" applyFont="1" applyFill="1" applyBorder="1" applyAlignment="1">
      <alignment horizontal="right" wrapText="1" readingOrder="1"/>
    </xf>
    <xf numFmtId="164" fontId="347" fillId="348" borderId="347" xfId="0" applyNumberFormat="1" applyFont="1" applyFill="1" applyBorder="1" applyAlignment="1">
      <alignment horizontal="right" wrapText="1" readingOrder="1"/>
    </xf>
    <xf numFmtId="164" fontId="348" fillId="349" borderId="348" xfId="0" applyNumberFormat="1" applyFont="1" applyFill="1" applyBorder="1" applyAlignment="1">
      <alignment horizontal="right" wrapText="1" readingOrder="1"/>
    </xf>
    <xf numFmtId="164" fontId="349" fillId="350" borderId="349" xfId="0" applyNumberFormat="1" applyFont="1" applyFill="1" applyBorder="1" applyAlignment="1">
      <alignment horizontal="right" wrapText="1" readingOrder="1"/>
    </xf>
    <xf numFmtId="164" fontId="350" fillId="351" borderId="350" xfId="0" applyNumberFormat="1" applyFont="1" applyFill="1" applyBorder="1" applyAlignment="1">
      <alignment horizontal="right" wrapText="1" readingOrder="1"/>
    </xf>
    <xf numFmtId="164" fontId="351" fillId="352" borderId="351" xfId="0" applyNumberFormat="1" applyFont="1" applyFill="1" applyBorder="1" applyAlignment="1">
      <alignment horizontal="right" wrapText="1" readingOrder="1"/>
    </xf>
    <xf numFmtId="164" fontId="352" fillId="353" borderId="352" xfId="0" applyNumberFormat="1" applyFont="1" applyFill="1" applyBorder="1" applyAlignment="1">
      <alignment horizontal="right" wrapText="1" readingOrder="1"/>
    </xf>
    <xf numFmtId="164" fontId="353" fillId="354" borderId="353" xfId="0" applyNumberFormat="1" applyFont="1" applyFill="1" applyBorder="1" applyAlignment="1">
      <alignment horizontal="right" wrapText="1" readingOrder="1"/>
    </xf>
    <xf numFmtId="164" fontId="354" fillId="355" borderId="354" xfId="0" applyNumberFormat="1" applyFont="1" applyFill="1" applyBorder="1" applyAlignment="1">
      <alignment horizontal="right" wrapText="1" readingOrder="1"/>
    </xf>
    <xf numFmtId="164" fontId="355" fillId="356" borderId="355" xfId="0" applyNumberFormat="1" applyFont="1" applyFill="1" applyBorder="1" applyAlignment="1">
      <alignment horizontal="right" wrapText="1" readingOrder="1"/>
    </xf>
    <xf numFmtId="164" fontId="356" fillId="357" borderId="356" xfId="0" applyNumberFormat="1" applyFont="1" applyFill="1" applyBorder="1" applyAlignment="1">
      <alignment horizontal="right" wrapText="1" readingOrder="1"/>
    </xf>
    <xf numFmtId="0" fontId="357" fillId="358" borderId="357" xfId="0" applyFont="1" applyFill="1" applyBorder="1" applyAlignment="1">
      <alignment horizontal="left" vertical="top" wrapText="1" readingOrder="1"/>
    </xf>
    <xf numFmtId="164" fontId="358" fillId="359" borderId="358" xfId="0" applyNumberFormat="1" applyFont="1" applyFill="1" applyBorder="1" applyAlignment="1">
      <alignment horizontal="right" wrapText="1" readingOrder="1"/>
    </xf>
    <xf numFmtId="164" fontId="359" fillId="360" borderId="359" xfId="0" applyNumberFormat="1" applyFont="1" applyFill="1" applyBorder="1" applyAlignment="1">
      <alignment horizontal="right" wrapText="1" readingOrder="1"/>
    </xf>
    <xf numFmtId="164" fontId="360" fillId="361" borderId="360" xfId="0" applyNumberFormat="1" applyFont="1" applyFill="1" applyBorder="1" applyAlignment="1">
      <alignment horizontal="right" wrapText="1" readingOrder="1"/>
    </xf>
    <xf numFmtId="164" fontId="361" fillId="362" borderId="361" xfId="0" applyNumberFormat="1" applyFont="1" applyFill="1" applyBorder="1" applyAlignment="1">
      <alignment horizontal="right" wrapText="1" readingOrder="1"/>
    </xf>
    <xf numFmtId="164" fontId="362" fillId="363" borderId="362" xfId="0" applyNumberFormat="1" applyFont="1" applyFill="1" applyBorder="1" applyAlignment="1">
      <alignment horizontal="right" wrapText="1" readingOrder="1"/>
    </xf>
    <xf numFmtId="164" fontId="363" fillId="364" borderId="363" xfId="0" applyNumberFormat="1" applyFont="1" applyFill="1" applyBorder="1" applyAlignment="1">
      <alignment horizontal="right" wrapText="1" readingOrder="1"/>
    </xf>
    <xf numFmtId="164" fontId="364" fillId="365" borderId="364" xfId="0" applyNumberFormat="1" applyFont="1" applyFill="1" applyBorder="1" applyAlignment="1">
      <alignment horizontal="right" wrapText="1" readingOrder="1"/>
    </xf>
    <xf numFmtId="164" fontId="365" fillId="366" borderId="365" xfId="0" applyNumberFormat="1" applyFont="1" applyFill="1" applyBorder="1" applyAlignment="1">
      <alignment horizontal="right" wrapText="1" readingOrder="1"/>
    </xf>
    <xf numFmtId="164" fontId="366" fillId="367" borderId="366" xfId="0" applyNumberFormat="1" applyFont="1" applyFill="1" applyBorder="1" applyAlignment="1">
      <alignment horizontal="right" wrapText="1" readingOrder="1"/>
    </xf>
    <xf numFmtId="164" fontId="367" fillId="368" borderId="367" xfId="0" applyNumberFormat="1" applyFont="1" applyFill="1" applyBorder="1" applyAlignment="1">
      <alignment horizontal="right" wrapText="1" readingOrder="1"/>
    </xf>
    <xf numFmtId="164" fontId="368" fillId="369" borderId="368" xfId="0" applyNumberFormat="1" applyFont="1" applyFill="1" applyBorder="1" applyAlignment="1">
      <alignment horizontal="right" wrapText="1" readingOrder="1"/>
    </xf>
    <xf numFmtId="164" fontId="369" fillId="370" borderId="369" xfId="0" applyNumberFormat="1" applyFont="1" applyFill="1" applyBorder="1" applyAlignment="1">
      <alignment horizontal="right" wrapText="1" readingOrder="1"/>
    </xf>
    <xf numFmtId="164" fontId="370" fillId="371" borderId="370" xfId="0" applyNumberFormat="1" applyFont="1" applyFill="1" applyBorder="1" applyAlignment="1">
      <alignment horizontal="right" wrapText="1" readingOrder="1"/>
    </xf>
    <xf numFmtId="164" fontId="371" fillId="372" borderId="371" xfId="0" applyNumberFormat="1" applyFont="1" applyFill="1" applyBorder="1" applyAlignment="1">
      <alignment horizontal="right" wrapText="1" readingOrder="1"/>
    </xf>
    <xf numFmtId="164" fontId="372" fillId="373" borderId="372" xfId="0" applyNumberFormat="1" applyFont="1" applyFill="1" applyBorder="1" applyAlignment="1">
      <alignment horizontal="right" wrapText="1" readingOrder="1"/>
    </xf>
    <xf numFmtId="0" fontId="373" fillId="374" borderId="373" xfId="0" applyFont="1" applyFill="1" applyBorder="1" applyAlignment="1">
      <alignment horizontal="left" vertical="top" wrapText="1" readingOrder="1"/>
    </xf>
    <xf numFmtId="164" fontId="374" fillId="375" borderId="374" xfId="0" applyNumberFormat="1" applyFont="1" applyFill="1" applyBorder="1" applyAlignment="1">
      <alignment horizontal="right" wrapText="1" readingOrder="1"/>
    </xf>
    <xf numFmtId="164" fontId="375" fillId="376" borderId="375" xfId="0" applyNumberFormat="1" applyFont="1" applyFill="1" applyBorder="1" applyAlignment="1">
      <alignment horizontal="right" wrapText="1" readingOrder="1"/>
    </xf>
    <xf numFmtId="164" fontId="376" fillId="377" borderId="376" xfId="0" applyNumberFormat="1" applyFont="1" applyFill="1" applyBorder="1" applyAlignment="1">
      <alignment horizontal="right" wrapText="1" readingOrder="1"/>
    </xf>
    <xf numFmtId="164" fontId="377" fillId="378" borderId="377" xfId="0" applyNumberFormat="1" applyFont="1" applyFill="1" applyBorder="1" applyAlignment="1">
      <alignment horizontal="right" wrapText="1" readingOrder="1"/>
    </xf>
    <xf numFmtId="164" fontId="378" fillId="379" borderId="378" xfId="0" applyNumberFormat="1" applyFont="1" applyFill="1" applyBorder="1" applyAlignment="1">
      <alignment horizontal="right" wrapText="1" readingOrder="1"/>
    </xf>
    <xf numFmtId="164" fontId="379" fillId="380" borderId="379" xfId="0" applyNumberFormat="1" applyFont="1" applyFill="1" applyBorder="1" applyAlignment="1">
      <alignment horizontal="right" wrapText="1" readingOrder="1"/>
    </xf>
    <xf numFmtId="164" fontId="380" fillId="381" borderId="380" xfId="0" applyNumberFormat="1" applyFont="1" applyFill="1" applyBorder="1" applyAlignment="1">
      <alignment horizontal="right" wrapText="1" readingOrder="1"/>
    </xf>
    <xf numFmtId="164" fontId="381" fillId="382" borderId="381" xfId="0" applyNumberFormat="1" applyFont="1" applyFill="1" applyBorder="1" applyAlignment="1">
      <alignment horizontal="right" wrapText="1" readingOrder="1"/>
    </xf>
    <xf numFmtId="164" fontId="382" fillId="383" borderId="382" xfId="0" applyNumberFormat="1" applyFont="1" applyFill="1" applyBorder="1" applyAlignment="1">
      <alignment horizontal="right" wrapText="1" readingOrder="1"/>
    </xf>
    <xf numFmtId="164" fontId="383" fillId="384" borderId="383" xfId="0" applyNumberFormat="1" applyFont="1" applyFill="1" applyBorder="1" applyAlignment="1">
      <alignment horizontal="right" wrapText="1" readingOrder="1"/>
    </xf>
    <xf numFmtId="164" fontId="384" fillId="385" borderId="384" xfId="0" applyNumberFormat="1" applyFont="1" applyFill="1" applyBorder="1" applyAlignment="1">
      <alignment horizontal="right" wrapText="1" readingOrder="1"/>
    </xf>
    <xf numFmtId="164" fontId="385" fillId="386" borderId="385" xfId="0" applyNumberFormat="1" applyFont="1" applyFill="1" applyBorder="1" applyAlignment="1">
      <alignment horizontal="right" wrapText="1" readingOrder="1"/>
    </xf>
    <xf numFmtId="164" fontId="386" fillId="387" borderId="386" xfId="0" applyNumberFormat="1" applyFont="1" applyFill="1" applyBorder="1" applyAlignment="1">
      <alignment horizontal="right" wrapText="1" readingOrder="1"/>
    </xf>
    <xf numFmtId="164" fontId="387" fillId="388" borderId="387" xfId="0" applyNumberFormat="1" applyFont="1" applyFill="1" applyBorder="1" applyAlignment="1">
      <alignment horizontal="right" wrapText="1" readingOrder="1"/>
    </xf>
    <xf numFmtId="164" fontId="388" fillId="389" borderId="388" xfId="0" applyNumberFormat="1" applyFont="1" applyFill="1" applyBorder="1" applyAlignment="1">
      <alignment horizontal="right" wrapText="1" readingOrder="1"/>
    </xf>
    <xf numFmtId="0" fontId="389" fillId="390" borderId="389" xfId="0" applyFont="1" applyFill="1" applyBorder="1" applyAlignment="1">
      <alignment horizontal="left" vertical="top" wrapText="1" readingOrder="1"/>
    </xf>
    <xf numFmtId="164" fontId="390" fillId="391" borderId="390" xfId="0" applyNumberFormat="1" applyFont="1" applyFill="1" applyBorder="1" applyAlignment="1">
      <alignment horizontal="right" wrapText="1" readingOrder="1"/>
    </xf>
    <xf numFmtId="164" fontId="391" fillId="392" borderId="391" xfId="0" applyNumberFormat="1" applyFont="1" applyFill="1" applyBorder="1" applyAlignment="1">
      <alignment horizontal="right" wrapText="1" readingOrder="1"/>
    </xf>
    <xf numFmtId="164" fontId="392" fillId="393" borderId="392" xfId="0" applyNumberFormat="1" applyFont="1" applyFill="1" applyBorder="1" applyAlignment="1">
      <alignment horizontal="right" wrapText="1" readingOrder="1"/>
    </xf>
    <xf numFmtId="164" fontId="393" fillId="394" borderId="393" xfId="0" applyNumberFormat="1" applyFont="1" applyFill="1" applyBorder="1" applyAlignment="1">
      <alignment horizontal="right" wrapText="1" readingOrder="1"/>
    </xf>
    <xf numFmtId="164" fontId="394" fillId="395" borderId="394" xfId="0" applyNumberFormat="1" applyFont="1" applyFill="1" applyBorder="1" applyAlignment="1">
      <alignment horizontal="right" wrapText="1" readingOrder="1"/>
    </xf>
    <xf numFmtId="164" fontId="395" fillId="396" borderId="395" xfId="0" applyNumberFormat="1" applyFont="1" applyFill="1" applyBorder="1" applyAlignment="1">
      <alignment horizontal="right" wrapText="1" readingOrder="1"/>
    </xf>
    <xf numFmtId="164" fontId="396" fillId="397" borderId="396" xfId="0" applyNumberFormat="1" applyFont="1" applyFill="1" applyBorder="1" applyAlignment="1">
      <alignment horizontal="right" wrapText="1" readingOrder="1"/>
    </xf>
    <xf numFmtId="164" fontId="397" fillId="398" borderId="397" xfId="0" applyNumberFormat="1" applyFont="1" applyFill="1" applyBorder="1" applyAlignment="1">
      <alignment horizontal="right" wrapText="1" readingOrder="1"/>
    </xf>
    <xf numFmtId="164" fontId="398" fillId="399" borderId="398" xfId="0" applyNumberFormat="1" applyFont="1" applyFill="1" applyBorder="1" applyAlignment="1">
      <alignment horizontal="right" wrapText="1" readingOrder="1"/>
    </xf>
    <xf numFmtId="164" fontId="399" fillId="400" borderId="399" xfId="0" applyNumberFormat="1" applyFont="1" applyFill="1" applyBorder="1" applyAlignment="1">
      <alignment horizontal="right" wrapText="1" readingOrder="1"/>
    </xf>
    <xf numFmtId="164" fontId="400" fillId="401" borderId="400" xfId="0" applyNumberFormat="1" applyFont="1" applyFill="1" applyBorder="1" applyAlignment="1">
      <alignment horizontal="right" wrapText="1" readingOrder="1"/>
    </xf>
    <xf numFmtId="164" fontId="401" fillId="402" borderId="401" xfId="0" applyNumberFormat="1" applyFont="1" applyFill="1" applyBorder="1" applyAlignment="1">
      <alignment horizontal="right" wrapText="1" readingOrder="1"/>
    </xf>
    <xf numFmtId="164" fontId="402" fillId="403" borderId="402" xfId="0" applyNumberFormat="1" applyFont="1" applyFill="1" applyBorder="1" applyAlignment="1">
      <alignment horizontal="right" wrapText="1" readingOrder="1"/>
    </xf>
    <xf numFmtId="164" fontId="403" fillId="404" borderId="403" xfId="0" applyNumberFormat="1" applyFont="1" applyFill="1" applyBorder="1" applyAlignment="1">
      <alignment horizontal="right" wrapText="1" readingOrder="1"/>
    </xf>
    <xf numFmtId="164" fontId="404" fillId="405" borderId="404" xfId="0" applyNumberFormat="1" applyFont="1" applyFill="1" applyBorder="1" applyAlignment="1">
      <alignment horizontal="right" wrapText="1" readingOrder="1"/>
    </xf>
    <xf numFmtId="0" fontId="405" fillId="406" borderId="405" xfId="0" applyFont="1" applyFill="1" applyBorder="1" applyAlignment="1">
      <alignment horizontal="left" vertical="top" wrapText="1" readingOrder="1"/>
    </xf>
    <xf numFmtId="164" fontId="406" fillId="407" borderId="406" xfId="0" applyNumberFormat="1" applyFont="1" applyFill="1" applyBorder="1" applyAlignment="1">
      <alignment horizontal="right" wrapText="1" readingOrder="1"/>
    </xf>
    <xf numFmtId="164" fontId="407" fillId="408" borderId="407" xfId="0" applyNumberFormat="1" applyFont="1" applyFill="1" applyBorder="1" applyAlignment="1">
      <alignment horizontal="right" wrapText="1" readingOrder="1"/>
    </xf>
    <xf numFmtId="164" fontId="408" fillId="409" borderId="408" xfId="0" applyNumberFormat="1" applyFont="1" applyFill="1" applyBorder="1" applyAlignment="1">
      <alignment horizontal="right" wrapText="1" readingOrder="1"/>
    </xf>
    <xf numFmtId="164" fontId="409" fillId="410" borderId="409" xfId="0" applyNumberFormat="1" applyFont="1" applyFill="1" applyBorder="1" applyAlignment="1">
      <alignment horizontal="right" wrapText="1" readingOrder="1"/>
    </xf>
    <xf numFmtId="164" fontId="410" fillId="411" borderId="410" xfId="0" applyNumberFormat="1" applyFont="1" applyFill="1" applyBorder="1" applyAlignment="1">
      <alignment horizontal="right" wrapText="1" readingOrder="1"/>
    </xf>
    <xf numFmtId="164" fontId="411" fillId="412" borderId="411" xfId="0" applyNumberFormat="1" applyFont="1" applyFill="1" applyBorder="1" applyAlignment="1">
      <alignment horizontal="right" wrapText="1" readingOrder="1"/>
    </xf>
    <xf numFmtId="164" fontId="412" fillId="413" borderId="412" xfId="0" applyNumberFormat="1" applyFont="1" applyFill="1" applyBorder="1" applyAlignment="1">
      <alignment horizontal="right" wrapText="1" readingOrder="1"/>
    </xf>
    <xf numFmtId="164" fontId="413" fillId="414" borderId="413" xfId="0" applyNumberFormat="1" applyFont="1" applyFill="1" applyBorder="1" applyAlignment="1">
      <alignment horizontal="right" wrapText="1" readingOrder="1"/>
    </xf>
    <xf numFmtId="164" fontId="414" fillId="415" borderId="414" xfId="0" applyNumberFormat="1" applyFont="1" applyFill="1" applyBorder="1" applyAlignment="1">
      <alignment horizontal="right" wrapText="1" readingOrder="1"/>
    </xf>
    <xf numFmtId="164" fontId="415" fillId="416" borderId="415" xfId="0" applyNumberFormat="1" applyFont="1" applyFill="1" applyBorder="1" applyAlignment="1">
      <alignment horizontal="right" wrapText="1" readingOrder="1"/>
    </xf>
    <xf numFmtId="164" fontId="416" fillId="417" borderId="416" xfId="0" applyNumberFormat="1" applyFont="1" applyFill="1" applyBorder="1" applyAlignment="1">
      <alignment horizontal="right" wrapText="1" readingOrder="1"/>
    </xf>
    <xf numFmtId="164" fontId="417" fillId="418" borderId="417" xfId="0" applyNumberFormat="1" applyFont="1" applyFill="1" applyBorder="1" applyAlignment="1">
      <alignment horizontal="right" wrapText="1" readingOrder="1"/>
    </xf>
    <xf numFmtId="164" fontId="418" fillId="419" borderId="418" xfId="0" applyNumberFormat="1" applyFont="1" applyFill="1" applyBorder="1" applyAlignment="1">
      <alignment horizontal="right" wrapText="1" readingOrder="1"/>
    </xf>
    <xf numFmtId="164" fontId="419" fillId="420" borderId="419" xfId="0" applyNumberFormat="1" applyFont="1" applyFill="1" applyBorder="1" applyAlignment="1">
      <alignment horizontal="right" wrapText="1" readingOrder="1"/>
    </xf>
    <xf numFmtId="164" fontId="420" fillId="421" borderId="420" xfId="0" applyNumberFormat="1" applyFont="1" applyFill="1" applyBorder="1" applyAlignment="1">
      <alignment horizontal="right" wrapText="1" readingOrder="1"/>
    </xf>
    <xf numFmtId="0" fontId="421" fillId="422" borderId="421" xfId="0" applyFont="1" applyFill="1" applyBorder="1" applyAlignment="1">
      <alignment horizontal="left" vertical="top" wrapText="1" readingOrder="1"/>
    </xf>
    <xf numFmtId="164" fontId="422" fillId="423" borderId="422" xfId="0" applyNumberFormat="1" applyFont="1" applyFill="1" applyBorder="1" applyAlignment="1">
      <alignment horizontal="right" wrapText="1" readingOrder="1"/>
    </xf>
    <xf numFmtId="164" fontId="423" fillId="424" borderId="423" xfId="0" applyNumberFormat="1" applyFont="1" applyFill="1" applyBorder="1" applyAlignment="1">
      <alignment horizontal="right" wrapText="1" readingOrder="1"/>
    </xf>
    <xf numFmtId="164" fontId="424" fillId="425" borderId="424" xfId="0" applyNumberFormat="1" applyFont="1" applyFill="1" applyBorder="1" applyAlignment="1">
      <alignment horizontal="right" wrapText="1" readingOrder="1"/>
    </xf>
    <xf numFmtId="164" fontId="425" fillId="426" borderId="425" xfId="0" applyNumberFormat="1" applyFont="1" applyFill="1" applyBorder="1" applyAlignment="1">
      <alignment horizontal="right" wrapText="1" readingOrder="1"/>
    </xf>
    <xf numFmtId="164" fontId="426" fillId="427" borderId="426" xfId="0" applyNumberFormat="1" applyFont="1" applyFill="1" applyBorder="1" applyAlignment="1">
      <alignment horizontal="right" wrapText="1" readingOrder="1"/>
    </xf>
    <xf numFmtId="164" fontId="427" fillId="428" borderId="427" xfId="0" applyNumberFormat="1" applyFont="1" applyFill="1" applyBorder="1" applyAlignment="1">
      <alignment horizontal="right" wrapText="1" readingOrder="1"/>
    </xf>
    <xf numFmtId="164" fontId="428" fillId="429" borderId="428" xfId="0" applyNumberFormat="1" applyFont="1" applyFill="1" applyBorder="1" applyAlignment="1">
      <alignment horizontal="right" wrapText="1" readingOrder="1"/>
    </xf>
    <xf numFmtId="164" fontId="429" fillId="430" borderId="429" xfId="0" applyNumberFormat="1" applyFont="1" applyFill="1" applyBorder="1" applyAlignment="1">
      <alignment horizontal="right" wrapText="1" readingOrder="1"/>
    </xf>
    <xf numFmtId="164" fontId="430" fillId="431" borderId="430" xfId="0" applyNumberFormat="1" applyFont="1" applyFill="1" applyBorder="1" applyAlignment="1">
      <alignment horizontal="right" wrapText="1" readingOrder="1"/>
    </xf>
    <xf numFmtId="164" fontId="431" fillId="432" borderId="431" xfId="0" applyNumberFormat="1" applyFont="1" applyFill="1" applyBorder="1" applyAlignment="1">
      <alignment horizontal="right" wrapText="1" readingOrder="1"/>
    </xf>
    <xf numFmtId="164" fontId="432" fillId="433" borderId="432" xfId="0" applyNumberFormat="1" applyFont="1" applyFill="1" applyBorder="1" applyAlignment="1">
      <alignment horizontal="right" wrapText="1" readingOrder="1"/>
    </xf>
    <xf numFmtId="164" fontId="433" fillId="434" borderId="433" xfId="0" applyNumberFormat="1" applyFont="1" applyFill="1" applyBorder="1" applyAlignment="1">
      <alignment horizontal="right" wrapText="1" readingOrder="1"/>
    </xf>
    <xf numFmtId="164" fontId="434" fillId="435" borderId="434" xfId="0" applyNumberFormat="1" applyFont="1" applyFill="1" applyBorder="1" applyAlignment="1">
      <alignment horizontal="right" wrapText="1" readingOrder="1"/>
    </xf>
    <xf numFmtId="164" fontId="435" fillId="436" borderId="435" xfId="0" applyNumberFormat="1" applyFont="1" applyFill="1" applyBorder="1" applyAlignment="1">
      <alignment horizontal="right" wrapText="1" readingOrder="1"/>
    </xf>
    <xf numFmtId="164" fontId="436" fillId="437" borderId="436" xfId="0" applyNumberFormat="1" applyFont="1" applyFill="1" applyBorder="1" applyAlignment="1">
      <alignment horizontal="right" wrapText="1" readingOrder="1"/>
    </xf>
    <xf numFmtId="0" fontId="437" fillId="438" borderId="437" xfId="0" applyFont="1" applyFill="1" applyBorder="1" applyAlignment="1">
      <alignment horizontal="left" vertical="top" wrapText="1" readingOrder="1"/>
    </xf>
    <xf numFmtId="164" fontId="438" fillId="439" borderId="438" xfId="0" applyNumberFormat="1" applyFont="1" applyFill="1" applyBorder="1" applyAlignment="1">
      <alignment horizontal="right" wrapText="1" readingOrder="1"/>
    </xf>
    <xf numFmtId="164" fontId="439" fillId="440" borderId="439" xfId="0" applyNumberFormat="1" applyFont="1" applyFill="1" applyBorder="1" applyAlignment="1">
      <alignment horizontal="right" wrapText="1" readingOrder="1"/>
    </xf>
    <xf numFmtId="164" fontId="440" fillId="441" borderId="440" xfId="0" applyNumberFormat="1" applyFont="1" applyFill="1" applyBorder="1" applyAlignment="1">
      <alignment horizontal="right" wrapText="1" readingOrder="1"/>
    </xf>
    <xf numFmtId="164" fontId="441" fillId="442" borderId="441" xfId="0" applyNumberFormat="1" applyFont="1" applyFill="1" applyBorder="1" applyAlignment="1">
      <alignment horizontal="right" wrapText="1" readingOrder="1"/>
    </xf>
    <xf numFmtId="164" fontId="442" fillId="443" borderId="442" xfId="0" applyNumberFormat="1" applyFont="1" applyFill="1" applyBorder="1" applyAlignment="1">
      <alignment horizontal="right" wrapText="1" readingOrder="1"/>
    </xf>
    <xf numFmtId="164" fontId="443" fillId="444" borderId="443" xfId="0" applyNumberFormat="1" applyFont="1" applyFill="1" applyBorder="1" applyAlignment="1">
      <alignment horizontal="right" wrapText="1" readingOrder="1"/>
    </xf>
    <xf numFmtId="164" fontId="444" fillId="445" borderId="444" xfId="0" applyNumberFormat="1" applyFont="1" applyFill="1" applyBorder="1" applyAlignment="1">
      <alignment horizontal="right" wrapText="1" readingOrder="1"/>
    </xf>
    <xf numFmtId="164" fontId="445" fillId="446" borderId="445" xfId="0" applyNumberFormat="1" applyFont="1" applyFill="1" applyBorder="1" applyAlignment="1">
      <alignment horizontal="right" wrapText="1" readingOrder="1"/>
    </xf>
    <xf numFmtId="164" fontId="446" fillId="447" borderId="446" xfId="0" applyNumberFormat="1" applyFont="1" applyFill="1" applyBorder="1" applyAlignment="1">
      <alignment horizontal="right" wrapText="1" readingOrder="1"/>
    </xf>
    <xf numFmtId="164" fontId="447" fillId="448" borderId="447" xfId="0" applyNumberFormat="1" applyFont="1" applyFill="1" applyBorder="1" applyAlignment="1">
      <alignment horizontal="right" wrapText="1" readingOrder="1"/>
    </xf>
    <xf numFmtId="164" fontId="448" fillId="449" borderId="448" xfId="0" applyNumberFormat="1" applyFont="1" applyFill="1" applyBorder="1" applyAlignment="1">
      <alignment horizontal="right" wrapText="1" readingOrder="1"/>
    </xf>
    <xf numFmtId="164" fontId="449" fillId="450" borderId="449" xfId="0" applyNumberFormat="1" applyFont="1" applyFill="1" applyBorder="1" applyAlignment="1">
      <alignment horizontal="right" wrapText="1" readingOrder="1"/>
    </xf>
    <xf numFmtId="164" fontId="450" fillId="451" borderId="450" xfId="0" applyNumberFormat="1" applyFont="1" applyFill="1" applyBorder="1" applyAlignment="1">
      <alignment horizontal="right" wrapText="1" readingOrder="1"/>
    </xf>
    <xf numFmtId="164" fontId="451" fillId="452" borderId="451" xfId="0" applyNumberFormat="1" applyFont="1" applyFill="1" applyBorder="1" applyAlignment="1">
      <alignment horizontal="right" wrapText="1" readingOrder="1"/>
    </xf>
    <xf numFmtId="164" fontId="452" fillId="453" borderId="452" xfId="0" applyNumberFormat="1" applyFont="1" applyFill="1" applyBorder="1" applyAlignment="1">
      <alignment horizontal="right" wrapText="1" readingOrder="1"/>
    </xf>
    <xf numFmtId="0" fontId="453" fillId="454" borderId="453" xfId="0" applyFont="1" applyFill="1" applyBorder="1" applyAlignment="1">
      <alignment horizontal="left" vertical="top" wrapText="1" readingOrder="1"/>
    </xf>
    <xf numFmtId="164" fontId="454" fillId="455" borderId="454" xfId="0" applyNumberFormat="1" applyFont="1" applyFill="1" applyBorder="1" applyAlignment="1">
      <alignment horizontal="right" wrapText="1" readingOrder="1"/>
    </xf>
    <xf numFmtId="164" fontId="455" fillId="456" borderId="455" xfId="0" applyNumberFormat="1" applyFont="1" applyFill="1" applyBorder="1" applyAlignment="1">
      <alignment horizontal="right" wrapText="1" readingOrder="1"/>
    </xf>
    <xf numFmtId="164" fontId="456" fillId="457" borderId="456" xfId="0" applyNumberFormat="1" applyFont="1" applyFill="1" applyBorder="1" applyAlignment="1">
      <alignment horizontal="right" wrapText="1" readingOrder="1"/>
    </xf>
    <xf numFmtId="164" fontId="457" fillId="458" borderId="457" xfId="0" applyNumberFormat="1" applyFont="1" applyFill="1" applyBorder="1" applyAlignment="1">
      <alignment horizontal="right" wrapText="1" readingOrder="1"/>
    </xf>
    <xf numFmtId="164" fontId="458" fillId="459" borderId="458" xfId="0" applyNumberFormat="1" applyFont="1" applyFill="1" applyBorder="1" applyAlignment="1">
      <alignment horizontal="right" wrapText="1" readingOrder="1"/>
    </xf>
    <xf numFmtId="164" fontId="459" fillId="460" borderId="459" xfId="0" applyNumberFormat="1" applyFont="1" applyFill="1" applyBorder="1" applyAlignment="1">
      <alignment horizontal="right" wrapText="1" readingOrder="1"/>
    </xf>
    <xf numFmtId="164" fontId="460" fillId="461" borderId="460" xfId="0" applyNumberFormat="1" applyFont="1" applyFill="1" applyBorder="1" applyAlignment="1">
      <alignment horizontal="right" wrapText="1" readingOrder="1"/>
    </xf>
    <xf numFmtId="164" fontId="461" fillId="462" borderId="461" xfId="0" applyNumberFormat="1" applyFont="1" applyFill="1" applyBorder="1" applyAlignment="1">
      <alignment horizontal="right" wrapText="1" readingOrder="1"/>
    </xf>
    <xf numFmtId="164" fontId="462" fillId="463" borderId="462" xfId="0" applyNumberFormat="1" applyFont="1" applyFill="1" applyBorder="1" applyAlignment="1">
      <alignment horizontal="right" wrapText="1" readingOrder="1"/>
    </xf>
    <xf numFmtId="164" fontId="463" fillId="464" borderId="463" xfId="0" applyNumberFormat="1" applyFont="1" applyFill="1" applyBorder="1" applyAlignment="1">
      <alignment horizontal="right" wrapText="1" readingOrder="1"/>
    </xf>
    <xf numFmtId="164" fontId="464" fillId="465" borderId="464" xfId="0" applyNumberFormat="1" applyFont="1" applyFill="1" applyBorder="1" applyAlignment="1">
      <alignment horizontal="right" wrapText="1" readingOrder="1"/>
    </xf>
    <xf numFmtId="164" fontId="465" fillId="466" borderId="465" xfId="0" applyNumberFormat="1" applyFont="1" applyFill="1" applyBorder="1" applyAlignment="1">
      <alignment horizontal="right" wrapText="1" readingOrder="1"/>
    </xf>
    <xf numFmtId="164" fontId="466" fillId="467" borderId="466" xfId="0" applyNumberFormat="1" applyFont="1" applyFill="1" applyBorder="1" applyAlignment="1">
      <alignment horizontal="right" wrapText="1" readingOrder="1"/>
    </xf>
    <xf numFmtId="164" fontId="467" fillId="468" borderId="467" xfId="0" applyNumberFormat="1" applyFont="1" applyFill="1" applyBorder="1" applyAlignment="1">
      <alignment horizontal="right" wrapText="1" readingOrder="1"/>
    </xf>
    <xf numFmtId="164" fontId="468" fillId="469" borderId="468" xfId="0" applyNumberFormat="1" applyFont="1" applyFill="1" applyBorder="1" applyAlignment="1">
      <alignment horizontal="right" wrapText="1" readingOrder="1"/>
    </xf>
    <xf numFmtId="0" fontId="469" fillId="470" borderId="469" xfId="0" applyFont="1" applyFill="1" applyBorder="1" applyAlignment="1">
      <alignment horizontal="left" vertical="top" wrapText="1" readingOrder="1"/>
    </xf>
    <xf numFmtId="164" fontId="470" fillId="471" borderId="470" xfId="0" applyNumberFormat="1" applyFont="1" applyFill="1" applyBorder="1" applyAlignment="1">
      <alignment horizontal="right" wrapText="1" readingOrder="1"/>
    </xf>
    <xf numFmtId="164" fontId="471" fillId="472" borderId="471" xfId="0" applyNumberFormat="1" applyFont="1" applyFill="1" applyBorder="1" applyAlignment="1">
      <alignment horizontal="right" wrapText="1" readingOrder="1"/>
    </xf>
    <xf numFmtId="164" fontId="472" fillId="473" borderId="472" xfId="0" applyNumberFormat="1" applyFont="1" applyFill="1" applyBorder="1" applyAlignment="1">
      <alignment horizontal="right" wrapText="1" readingOrder="1"/>
    </xf>
    <xf numFmtId="164" fontId="473" fillId="474" borderId="473" xfId="0" applyNumberFormat="1" applyFont="1" applyFill="1" applyBorder="1" applyAlignment="1">
      <alignment horizontal="right" wrapText="1" readingOrder="1"/>
    </xf>
    <xf numFmtId="164" fontId="474" fillId="475" borderId="474" xfId="0" applyNumberFormat="1" applyFont="1" applyFill="1" applyBorder="1" applyAlignment="1">
      <alignment horizontal="right" wrapText="1" readingOrder="1"/>
    </xf>
    <xf numFmtId="164" fontId="475" fillId="476" borderId="475" xfId="0" applyNumberFormat="1" applyFont="1" applyFill="1" applyBorder="1" applyAlignment="1">
      <alignment horizontal="right" wrapText="1" readingOrder="1"/>
    </xf>
    <xf numFmtId="164" fontId="476" fillId="477" borderId="476" xfId="0" applyNumberFormat="1" applyFont="1" applyFill="1" applyBorder="1" applyAlignment="1">
      <alignment horizontal="right" wrapText="1" readingOrder="1"/>
    </xf>
    <xf numFmtId="164" fontId="477" fillId="478" borderId="477" xfId="0" applyNumberFormat="1" applyFont="1" applyFill="1" applyBorder="1" applyAlignment="1">
      <alignment horizontal="right" wrapText="1" readingOrder="1"/>
    </xf>
    <xf numFmtId="164" fontId="478" fillId="479" borderId="478" xfId="0" applyNumberFormat="1" applyFont="1" applyFill="1" applyBorder="1" applyAlignment="1">
      <alignment horizontal="right" wrapText="1" readingOrder="1"/>
    </xf>
    <xf numFmtId="164" fontId="479" fillId="480" borderId="479" xfId="0" applyNumberFormat="1" applyFont="1" applyFill="1" applyBorder="1" applyAlignment="1">
      <alignment horizontal="right" wrapText="1" readingOrder="1"/>
    </xf>
    <xf numFmtId="164" fontId="480" fillId="481" borderId="480" xfId="0" applyNumberFormat="1" applyFont="1" applyFill="1" applyBorder="1" applyAlignment="1">
      <alignment horizontal="right" wrapText="1" readingOrder="1"/>
    </xf>
    <xf numFmtId="164" fontId="481" fillId="482" borderId="481" xfId="0" applyNumberFormat="1" applyFont="1" applyFill="1" applyBorder="1" applyAlignment="1">
      <alignment horizontal="right" wrapText="1" readingOrder="1"/>
    </xf>
    <xf numFmtId="164" fontId="482" fillId="483" borderId="482" xfId="0" applyNumberFormat="1" applyFont="1" applyFill="1" applyBorder="1" applyAlignment="1">
      <alignment horizontal="right" wrapText="1" readingOrder="1"/>
    </xf>
    <xf numFmtId="164" fontId="483" fillId="484" borderId="483" xfId="0" applyNumberFormat="1" applyFont="1" applyFill="1" applyBorder="1" applyAlignment="1">
      <alignment horizontal="right" wrapText="1" readingOrder="1"/>
    </xf>
    <xf numFmtId="164" fontId="484" fillId="485" borderId="484" xfId="0" applyNumberFormat="1" applyFont="1" applyFill="1" applyBorder="1" applyAlignment="1">
      <alignment horizontal="right" wrapText="1" readingOrder="1"/>
    </xf>
    <xf numFmtId="0" fontId="485" fillId="486" borderId="485" xfId="0" applyFont="1" applyFill="1" applyBorder="1" applyAlignment="1">
      <alignment horizontal="left" vertical="top" wrapText="1" readingOrder="1"/>
    </xf>
    <xf numFmtId="164" fontId="486" fillId="487" borderId="486" xfId="0" applyNumberFormat="1" applyFont="1" applyFill="1" applyBorder="1" applyAlignment="1">
      <alignment horizontal="right" wrapText="1" readingOrder="1"/>
    </xf>
    <xf numFmtId="164" fontId="487" fillId="488" borderId="487" xfId="0" applyNumberFormat="1" applyFont="1" applyFill="1" applyBorder="1" applyAlignment="1">
      <alignment horizontal="right" wrapText="1" readingOrder="1"/>
    </xf>
    <xf numFmtId="164" fontId="488" fillId="489" borderId="488" xfId="0" applyNumberFormat="1" applyFont="1" applyFill="1" applyBorder="1" applyAlignment="1">
      <alignment horizontal="right" wrapText="1" readingOrder="1"/>
    </xf>
    <xf numFmtId="164" fontId="489" fillId="490" borderId="489" xfId="0" applyNumberFormat="1" applyFont="1" applyFill="1" applyBorder="1" applyAlignment="1">
      <alignment horizontal="right" wrapText="1" readingOrder="1"/>
    </xf>
    <xf numFmtId="164" fontId="490" fillId="491" borderId="490" xfId="0" applyNumberFormat="1" applyFont="1" applyFill="1" applyBorder="1" applyAlignment="1">
      <alignment horizontal="right" wrapText="1" readingOrder="1"/>
    </xf>
    <xf numFmtId="164" fontId="491" fillId="492" borderId="491" xfId="0" applyNumberFormat="1" applyFont="1" applyFill="1" applyBorder="1" applyAlignment="1">
      <alignment horizontal="right" wrapText="1" readingOrder="1"/>
    </xf>
    <xf numFmtId="164" fontId="492" fillId="493" borderId="492" xfId="0" applyNumberFormat="1" applyFont="1" applyFill="1" applyBorder="1" applyAlignment="1">
      <alignment horizontal="right" wrapText="1" readingOrder="1"/>
    </xf>
    <xf numFmtId="164" fontId="493" fillId="494" borderId="493" xfId="0" applyNumberFormat="1" applyFont="1" applyFill="1" applyBorder="1" applyAlignment="1">
      <alignment horizontal="right" wrapText="1" readingOrder="1"/>
    </xf>
    <xf numFmtId="164" fontId="494" fillId="495" borderId="494" xfId="0" applyNumberFormat="1" applyFont="1" applyFill="1" applyBorder="1" applyAlignment="1">
      <alignment horizontal="right" wrapText="1" readingOrder="1"/>
    </xf>
    <xf numFmtId="164" fontId="495" fillId="496" borderId="495" xfId="0" applyNumberFormat="1" applyFont="1" applyFill="1" applyBorder="1" applyAlignment="1">
      <alignment horizontal="right" wrapText="1" readingOrder="1"/>
    </xf>
    <xf numFmtId="164" fontId="496" fillId="497" borderId="496" xfId="0" applyNumberFormat="1" applyFont="1" applyFill="1" applyBorder="1" applyAlignment="1">
      <alignment horizontal="right" wrapText="1" readingOrder="1"/>
    </xf>
    <xf numFmtId="164" fontId="497" fillId="498" borderId="497" xfId="0" applyNumberFormat="1" applyFont="1" applyFill="1" applyBorder="1" applyAlignment="1">
      <alignment horizontal="right" wrapText="1" readingOrder="1"/>
    </xf>
    <xf numFmtId="164" fontId="498" fillId="499" borderId="498" xfId="0" applyNumberFormat="1" applyFont="1" applyFill="1" applyBorder="1" applyAlignment="1">
      <alignment horizontal="right" wrapText="1" readingOrder="1"/>
    </xf>
    <xf numFmtId="164" fontId="499" fillId="500" borderId="499" xfId="0" applyNumberFormat="1" applyFont="1" applyFill="1" applyBorder="1" applyAlignment="1">
      <alignment horizontal="right" wrapText="1" readingOrder="1"/>
    </xf>
    <xf numFmtId="164" fontId="500" fillId="501" borderId="500" xfId="0" applyNumberFormat="1" applyFont="1" applyFill="1" applyBorder="1" applyAlignment="1">
      <alignment horizontal="right" wrapText="1" readingOrder="1"/>
    </xf>
    <xf numFmtId="0" fontId="501" fillId="502" borderId="501" xfId="0" applyFont="1" applyFill="1" applyBorder="1" applyAlignment="1">
      <alignment horizontal="left" vertical="top" wrapText="1" readingOrder="1"/>
    </xf>
    <xf numFmtId="164" fontId="502" fillId="503" borderId="502" xfId="0" applyNumberFormat="1" applyFont="1" applyFill="1" applyBorder="1" applyAlignment="1">
      <alignment horizontal="right" wrapText="1" readingOrder="1"/>
    </xf>
    <xf numFmtId="164" fontId="503" fillId="504" borderId="503" xfId="0" applyNumberFormat="1" applyFont="1" applyFill="1" applyBorder="1" applyAlignment="1">
      <alignment horizontal="right" wrapText="1" readingOrder="1"/>
    </xf>
    <xf numFmtId="164" fontId="504" fillId="505" borderId="504" xfId="0" applyNumberFormat="1" applyFont="1" applyFill="1" applyBorder="1" applyAlignment="1">
      <alignment horizontal="right" wrapText="1" readingOrder="1"/>
    </xf>
    <xf numFmtId="164" fontId="505" fillId="506" borderId="505" xfId="0" applyNumberFormat="1" applyFont="1" applyFill="1" applyBorder="1" applyAlignment="1">
      <alignment horizontal="right" wrapText="1" readingOrder="1"/>
    </xf>
    <xf numFmtId="164" fontId="506" fillId="507" borderId="506" xfId="0" applyNumberFormat="1" applyFont="1" applyFill="1" applyBorder="1" applyAlignment="1">
      <alignment horizontal="right" wrapText="1" readingOrder="1"/>
    </xf>
    <xf numFmtId="164" fontId="507" fillId="508" borderId="507" xfId="0" applyNumberFormat="1" applyFont="1" applyFill="1" applyBorder="1" applyAlignment="1">
      <alignment horizontal="right" wrapText="1" readingOrder="1"/>
    </xf>
    <xf numFmtId="164" fontId="508" fillId="509" borderId="508" xfId="0" applyNumberFormat="1" applyFont="1" applyFill="1" applyBorder="1" applyAlignment="1">
      <alignment horizontal="right" wrapText="1" readingOrder="1"/>
    </xf>
    <xf numFmtId="164" fontId="509" fillId="510" borderId="509" xfId="0" applyNumberFormat="1" applyFont="1" applyFill="1" applyBorder="1" applyAlignment="1">
      <alignment horizontal="right" wrapText="1" readingOrder="1"/>
    </xf>
    <xf numFmtId="164" fontId="510" fillId="511" borderId="510" xfId="0" applyNumberFormat="1" applyFont="1" applyFill="1" applyBorder="1" applyAlignment="1">
      <alignment horizontal="right" wrapText="1" readingOrder="1"/>
    </xf>
    <xf numFmtId="164" fontId="511" fillId="512" borderId="511" xfId="0" applyNumberFormat="1" applyFont="1" applyFill="1" applyBorder="1" applyAlignment="1">
      <alignment horizontal="right" wrapText="1" readingOrder="1"/>
    </xf>
    <xf numFmtId="164" fontId="512" fillId="513" borderId="512" xfId="0" applyNumberFormat="1" applyFont="1" applyFill="1" applyBorder="1" applyAlignment="1">
      <alignment horizontal="right" wrapText="1" readingOrder="1"/>
    </xf>
    <xf numFmtId="164" fontId="513" fillId="514" borderId="513" xfId="0" applyNumberFormat="1" applyFont="1" applyFill="1" applyBorder="1" applyAlignment="1">
      <alignment horizontal="right" wrapText="1" readingOrder="1"/>
    </xf>
    <xf numFmtId="164" fontId="514" fillId="515" borderId="514" xfId="0" applyNumberFormat="1" applyFont="1" applyFill="1" applyBorder="1" applyAlignment="1">
      <alignment horizontal="right" wrapText="1" readingOrder="1"/>
    </xf>
    <xf numFmtId="164" fontId="515" fillId="516" borderId="515" xfId="0" applyNumberFormat="1" applyFont="1" applyFill="1" applyBorder="1" applyAlignment="1">
      <alignment horizontal="right" wrapText="1" readingOrder="1"/>
    </xf>
    <xf numFmtId="164" fontId="516" fillId="517" borderId="516" xfId="0" applyNumberFormat="1" applyFont="1" applyFill="1" applyBorder="1" applyAlignment="1">
      <alignment horizontal="right" wrapText="1" readingOrder="1"/>
    </xf>
    <xf numFmtId="0" fontId="517" fillId="518" borderId="517" xfId="0" applyFont="1" applyFill="1" applyBorder="1" applyAlignment="1">
      <alignment horizontal="left" vertical="top" wrapText="1" readingOrder="1"/>
    </xf>
    <xf numFmtId="164" fontId="518" fillId="519" borderId="518" xfId="0" applyNumberFormat="1" applyFont="1" applyFill="1" applyBorder="1" applyAlignment="1">
      <alignment horizontal="right" wrapText="1" readingOrder="1"/>
    </xf>
    <xf numFmtId="164" fontId="519" fillId="520" borderId="519" xfId="0" applyNumberFormat="1" applyFont="1" applyFill="1" applyBorder="1" applyAlignment="1">
      <alignment horizontal="right" wrapText="1" readingOrder="1"/>
    </xf>
    <xf numFmtId="164" fontId="520" fillId="521" borderId="520" xfId="0" applyNumberFormat="1" applyFont="1" applyFill="1" applyBorder="1" applyAlignment="1">
      <alignment horizontal="right" wrapText="1" readingOrder="1"/>
    </xf>
    <xf numFmtId="164" fontId="521" fillId="522" borderId="521" xfId="0" applyNumberFormat="1" applyFont="1" applyFill="1" applyBorder="1" applyAlignment="1">
      <alignment horizontal="right" wrapText="1" readingOrder="1"/>
    </xf>
    <xf numFmtId="164" fontId="522" fillId="523" borderId="522" xfId="0" applyNumberFormat="1" applyFont="1" applyFill="1" applyBorder="1" applyAlignment="1">
      <alignment horizontal="right" wrapText="1" readingOrder="1"/>
    </xf>
    <xf numFmtId="164" fontId="523" fillId="524" borderId="523" xfId="0" applyNumberFormat="1" applyFont="1" applyFill="1" applyBorder="1" applyAlignment="1">
      <alignment horizontal="right" wrapText="1" readingOrder="1"/>
    </xf>
    <xf numFmtId="164" fontId="524" fillId="525" borderId="524" xfId="0" applyNumberFormat="1" applyFont="1" applyFill="1" applyBorder="1" applyAlignment="1">
      <alignment horizontal="right" wrapText="1" readingOrder="1"/>
    </xf>
    <xf numFmtId="164" fontId="525" fillId="526" borderId="525" xfId="0" applyNumberFormat="1" applyFont="1" applyFill="1" applyBorder="1" applyAlignment="1">
      <alignment horizontal="right" wrapText="1" readingOrder="1"/>
    </xf>
    <xf numFmtId="164" fontId="526" fillId="527" borderId="526" xfId="0" applyNumberFormat="1" applyFont="1" applyFill="1" applyBorder="1" applyAlignment="1">
      <alignment horizontal="right" wrapText="1" readingOrder="1"/>
    </xf>
    <xf numFmtId="164" fontId="527" fillId="528" borderId="527" xfId="0" applyNumberFormat="1" applyFont="1" applyFill="1" applyBorder="1" applyAlignment="1">
      <alignment horizontal="right" wrapText="1" readingOrder="1"/>
    </xf>
    <xf numFmtId="164" fontId="528" fillId="529" borderId="528" xfId="0" applyNumberFormat="1" applyFont="1" applyFill="1" applyBorder="1" applyAlignment="1">
      <alignment horizontal="right" wrapText="1" readingOrder="1"/>
    </xf>
    <xf numFmtId="164" fontId="529" fillId="530" borderId="529" xfId="0" applyNumberFormat="1" applyFont="1" applyFill="1" applyBorder="1" applyAlignment="1">
      <alignment horizontal="right" wrapText="1" readingOrder="1"/>
    </xf>
    <xf numFmtId="164" fontId="530" fillId="531" borderId="530" xfId="0" applyNumberFormat="1" applyFont="1" applyFill="1" applyBorder="1" applyAlignment="1">
      <alignment horizontal="right" wrapText="1" readingOrder="1"/>
    </xf>
    <xf numFmtId="164" fontId="531" fillId="532" borderId="531" xfId="0" applyNumberFormat="1" applyFont="1" applyFill="1" applyBorder="1" applyAlignment="1">
      <alignment horizontal="right" wrapText="1" readingOrder="1"/>
    </xf>
    <xf numFmtId="164" fontId="532" fillId="533" borderId="532" xfId="0" applyNumberFormat="1" applyFont="1" applyFill="1" applyBorder="1" applyAlignment="1">
      <alignment horizontal="right" wrapText="1" readingOrder="1"/>
    </xf>
    <xf numFmtId="0" fontId="533" fillId="534" borderId="533" xfId="0" applyFont="1" applyFill="1" applyBorder="1" applyAlignment="1">
      <alignment horizontal="left" vertical="top" wrapText="1" readingOrder="1"/>
    </xf>
    <xf numFmtId="164" fontId="534" fillId="535" borderId="534" xfId="0" applyNumberFormat="1" applyFont="1" applyFill="1" applyBorder="1" applyAlignment="1">
      <alignment horizontal="right" wrapText="1" readingOrder="1"/>
    </xf>
    <xf numFmtId="164" fontId="535" fillId="536" borderId="535" xfId="0" applyNumberFormat="1" applyFont="1" applyFill="1" applyBorder="1" applyAlignment="1">
      <alignment horizontal="right" wrapText="1" readingOrder="1"/>
    </xf>
    <xf numFmtId="164" fontId="536" fillId="537" borderId="536" xfId="0" applyNumberFormat="1" applyFont="1" applyFill="1" applyBorder="1" applyAlignment="1">
      <alignment horizontal="right" wrapText="1" readingOrder="1"/>
    </xf>
    <xf numFmtId="164" fontId="537" fillId="538" borderId="537" xfId="0" applyNumberFormat="1" applyFont="1" applyFill="1" applyBorder="1" applyAlignment="1">
      <alignment horizontal="right" wrapText="1" readingOrder="1"/>
    </xf>
    <xf numFmtId="164" fontId="538" fillId="539" borderId="538" xfId="0" applyNumberFormat="1" applyFont="1" applyFill="1" applyBorder="1" applyAlignment="1">
      <alignment horizontal="right" wrapText="1" readingOrder="1"/>
    </xf>
    <xf numFmtId="164" fontId="539" fillId="540" borderId="539" xfId="0" applyNumberFormat="1" applyFont="1" applyFill="1" applyBorder="1" applyAlignment="1">
      <alignment horizontal="right" wrapText="1" readingOrder="1"/>
    </xf>
    <xf numFmtId="164" fontId="540" fillId="541" borderId="540" xfId="0" applyNumberFormat="1" applyFont="1" applyFill="1" applyBorder="1" applyAlignment="1">
      <alignment horizontal="right" wrapText="1" readingOrder="1"/>
    </xf>
    <xf numFmtId="164" fontId="541" fillId="542" borderId="541" xfId="0" applyNumberFormat="1" applyFont="1" applyFill="1" applyBorder="1" applyAlignment="1">
      <alignment horizontal="right" wrapText="1" readingOrder="1"/>
    </xf>
    <xf numFmtId="164" fontId="542" fillId="543" borderId="542" xfId="0" applyNumberFormat="1" applyFont="1" applyFill="1" applyBorder="1" applyAlignment="1">
      <alignment horizontal="right" wrapText="1" readingOrder="1"/>
    </xf>
    <xf numFmtId="164" fontId="543" fillId="544" borderId="543" xfId="0" applyNumberFormat="1" applyFont="1" applyFill="1" applyBorder="1" applyAlignment="1">
      <alignment horizontal="right" wrapText="1" readingOrder="1"/>
    </xf>
    <xf numFmtId="164" fontId="544" fillId="545" borderId="544" xfId="0" applyNumberFormat="1" applyFont="1" applyFill="1" applyBorder="1" applyAlignment="1">
      <alignment horizontal="right" wrapText="1" readingOrder="1"/>
    </xf>
    <xf numFmtId="164" fontId="545" fillId="546" borderId="545" xfId="0" applyNumberFormat="1" applyFont="1" applyFill="1" applyBorder="1" applyAlignment="1">
      <alignment horizontal="right" wrapText="1" readingOrder="1"/>
    </xf>
    <xf numFmtId="164" fontId="546" fillId="547" borderId="546" xfId="0" applyNumberFormat="1" applyFont="1" applyFill="1" applyBorder="1" applyAlignment="1">
      <alignment horizontal="right" wrapText="1" readingOrder="1"/>
    </xf>
    <xf numFmtId="164" fontId="547" fillId="548" borderId="547" xfId="0" applyNumberFormat="1" applyFont="1" applyFill="1" applyBorder="1" applyAlignment="1">
      <alignment horizontal="right" wrapText="1" readingOrder="1"/>
    </xf>
    <xf numFmtId="164" fontId="548" fillId="549" borderId="548" xfId="0" applyNumberFormat="1" applyFont="1" applyFill="1" applyBorder="1" applyAlignment="1">
      <alignment horizontal="right" wrapText="1" readingOrder="1"/>
    </xf>
    <xf numFmtId="0" fontId="549" fillId="550" borderId="549" xfId="0" applyFont="1" applyFill="1" applyBorder="1" applyAlignment="1">
      <alignment horizontal="left" vertical="top" wrapText="1" readingOrder="1"/>
    </xf>
    <xf numFmtId="164" fontId="550" fillId="551" borderId="550" xfId="0" applyNumberFormat="1" applyFont="1" applyFill="1" applyBorder="1" applyAlignment="1">
      <alignment horizontal="right" wrapText="1" readingOrder="1"/>
    </xf>
    <xf numFmtId="164" fontId="551" fillId="552" borderId="551" xfId="0" applyNumberFormat="1" applyFont="1" applyFill="1" applyBorder="1" applyAlignment="1">
      <alignment horizontal="right" wrapText="1" readingOrder="1"/>
    </xf>
    <xf numFmtId="164" fontId="552" fillId="553" borderId="552" xfId="0" applyNumberFormat="1" applyFont="1" applyFill="1" applyBorder="1" applyAlignment="1">
      <alignment horizontal="right" wrapText="1" readingOrder="1"/>
    </xf>
    <xf numFmtId="164" fontId="553" fillId="554" borderId="553" xfId="0" applyNumberFormat="1" applyFont="1" applyFill="1" applyBorder="1" applyAlignment="1">
      <alignment horizontal="right" wrapText="1" readingOrder="1"/>
    </xf>
    <xf numFmtId="164" fontId="554" fillId="555" borderId="554" xfId="0" applyNumberFormat="1" applyFont="1" applyFill="1" applyBorder="1" applyAlignment="1">
      <alignment horizontal="right" wrapText="1" readingOrder="1"/>
    </xf>
    <xf numFmtId="164" fontId="555" fillId="556" borderId="555" xfId="0" applyNumberFormat="1" applyFont="1" applyFill="1" applyBorder="1" applyAlignment="1">
      <alignment horizontal="right" wrapText="1" readingOrder="1"/>
    </xf>
    <xf numFmtId="164" fontId="556" fillId="557" borderId="556" xfId="0" applyNumberFormat="1" applyFont="1" applyFill="1" applyBorder="1" applyAlignment="1">
      <alignment horizontal="right" wrapText="1" readingOrder="1"/>
    </xf>
    <xf numFmtId="164" fontId="557" fillId="558" borderId="557" xfId="0" applyNumberFormat="1" applyFont="1" applyFill="1" applyBorder="1" applyAlignment="1">
      <alignment horizontal="right" wrapText="1" readingOrder="1"/>
    </xf>
    <xf numFmtId="164" fontId="558" fillId="559" borderId="558" xfId="0" applyNumberFormat="1" applyFont="1" applyFill="1" applyBorder="1" applyAlignment="1">
      <alignment horizontal="right" wrapText="1" readingOrder="1"/>
    </xf>
    <xf numFmtId="164" fontId="559" fillId="560" borderId="559" xfId="0" applyNumberFormat="1" applyFont="1" applyFill="1" applyBorder="1" applyAlignment="1">
      <alignment horizontal="right" wrapText="1" readingOrder="1"/>
    </xf>
    <xf numFmtId="164" fontId="560" fillId="561" borderId="560" xfId="0" applyNumberFormat="1" applyFont="1" applyFill="1" applyBorder="1" applyAlignment="1">
      <alignment horizontal="right" wrapText="1" readingOrder="1"/>
    </xf>
    <xf numFmtId="164" fontId="561" fillId="562" borderId="561" xfId="0" applyNumberFormat="1" applyFont="1" applyFill="1" applyBorder="1" applyAlignment="1">
      <alignment horizontal="right" wrapText="1" readingOrder="1"/>
    </xf>
    <xf numFmtId="164" fontId="562" fillId="563" borderId="562" xfId="0" applyNumberFormat="1" applyFont="1" applyFill="1" applyBorder="1" applyAlignment="1">
      <alignment horizontal="right" wrapText="1" readingOrder="1"/>
    </xf>
    <xf numFmtId="164" fontId="563" fillId="564" borderId="563" xfId="0" applyNumberFormat="1" applyFont="1" applyFill="1" applyBorder="1" applyAlignment="1">
      <alignment horizontal="right" wrapText="1" readingOrder="1"/>
    </xf>
    <xf numFmtId="164" fontId="564" fillId="565" borderId="564" xfId="0" applyNumberFormat="1" applyFont="1" applyFill="1" applyBorder="1" applyAlignment="1">
      <alignment horizontal="right" wrapText="1" readingOrder="1"/>
    </xf>
    <xf numFmtId="0" fontId="565" fillId="566" borderId="565" xfId="0" applyFont="1" applyFill="1" applyBorder="1" applyAlignment="1">
      <alignment horizontal="left" vertical="top" wrapText="1" readingOrder="1"/>
    </xf>
    <xf numFmtId="164" fontId="566" fillId="567" borderId="566" xfId="0" applyNumberFormat="1" applyFont="1" applyFill="1" applyBorder="1" applyAlignment="1">
      <alignment horizontal="right" wrapText="1" readingOrder="1"/>
    </xf>
    <xf numFmtId="164" fontId="567" fillId="568" borderId="567" xfId="0" applyNumberFormat="1" applyFont="1" applyFill="1" applyBorder="1" applyAlignment="1">
      <alignment horizontal="right" wrapText="1" readingOrder="1"/>
    </xf>
    <xf numFmtId="164" fontId="568" fillId="569" borderId="568" xfId="0" applyNumberFormat="1" applyFont="1" applyFill="1" applyBorder="1" applyAlignment="1">
      <alignment horizontal="right" wrapText="1" readingOrder="1"/>
    </xf>
    <xf numFmtId="164" fontId="569" fillId="570" borderId="569" xfId="0" applyNumberFormat="1" applyFont="1" applyFill="1" applyBorder="1" applyAlignment="1">
      <alignment horizontal="right" wrapText="1" readingOrder="1"/>
    </xf>
    <xf numFmtId="164" fontId="570" fillId="571" borderId="570" xfId="0" applyNumberFormat="1" applyFont="1" applyFill="1" applyBorder="1" applyAlignment="1">
      <alignment horizontal="right" wrapText="1" readingOrder="1"/>
    </xf>
    <xf numFmtId="164" fontId="571" fillId="572" borderId="571" xfId="0" applyNumberFormat="1" applyFont="1" applyFill="1" applyBorder="1" applyAlignment="1">
      <alignment horizontal="right" wrapText="1" readingOrder="1"/>
    </xf>
    <xf numFmtId="164" fontId="572" fillId="573" borderId="572" xfId="0" applyNumberFormat="1" applyFont="1" applyFill="1" applyBorder="1" applyAlignment="1">
      <alignment horizontal="right" wrapText="1" readingOrder="1"/>
    </xf>
    <xf numFmtId="164" fontId="573" fillId="574" borderId="573" xfId="0" applyNumberFormat="1" applyFont="1" applyFill="1" applyBorder="1" applyAlignment="1">
      <alignment horizontal="right" wrapText="1" readingOrder="1"/>
    </xf>
    <xf numFmtId="164" fontId="574" fillId="575" borderId="574" xfId="0" applyNumberFormat="1" applyFont="1" applyFill="1" applyBorder="1" applyAlignment="1">
      <alignment horizontal="right" wrapText="1" readingOrder="1"/>
    </xf>
    <xf numFmtId="164" fontId="575" fillId="576" borderId="575" xfId="0" applyNumberFormat="1" applyFont="1" applyFill="1" applyBorder="1" applyAlignment="1">
      <alignment horizontal="right" wrapText="1" readingOrder="1"/>
    </xf>
    <xf numFmtId="164" fontId="576" fillId="577" borderId="576" xfId="0" applyNumberFormat="1" applyFont="1" applyFill="1" applyBorder="1" applyAlignment="1">
      <alignment horizontal="right" wrapText="1" readingOrder="1"/>
    </xf>
    <xf numFmtId="164" fontId="577" fillId="578" borderId="577" xfId="0" applyNumberFormat="1" applyFont="1" applyFill="1" applyBorder="1" applyAlignment="1">
      <alignment horizontal="right" wrapText="1" readingOrder="1"/>
    </xf>
    <xf numFmtId="164" fontId="578" fillId="579" borderId="578" xfId="0" applyNumberFormat="1" applyFont="1" applyFill="1" applyBorder="1" applyAlignment="1">
      <alignment horizontal="right" wrapText="1" readingOrder="1"/>
    </xf>
    <xf numFmtId="164" fontId="579" fillId="580" borderId="579" xfId="0" applyNumberFormat="1" applyFont="1" applyFill="1" applyBorder="1" applyAlignment="1">
      <alignment horizontal="right" wrapText="1" readingOrder="1"/>
    </xf>
    <xf numFmtId="164" fontId="580" fillId="581" borderId="580" xfId="0" applyNumberFormat="1" applyFont="1" applyFill="1" applyBorder="1" applyAlignment="1">
      <alignment horizontal="right" wrapText="1" readingOrder="1"/>
    </xf>
    <xf numFmtId="0" fontId="581" fillId="582" borderId="581" xfId="0" applyFont="1" applyFill="1" applyBorder="1" applyAlignment="1">
      <alignment horizontal="left" vertical="top" wrapText="1" readingOrder="1"/>
    </xf>
    <xf numFmtId="164" fontId="582" fillId="583" borderId="582" xfId="0" applyNumberFormat="1" applyFont="1" applyFill="1" applyBorder="1" applyAlignment="1">
      <alignment horizontal="right" wrapText="1" readingOrder="1"/>
    </xf>
    <xf numFmtId="164" fontId="583" fillId="584" borderId="583" xfId="0" applyNumberFormat="1" applyFont="1" applyFill="1" applyBorder="1" applyAlignment="1">
      <alignment horizontal="right" wrapText="1" readingOrder="1"/>
    </xf>
    <xf numFmtId="164" fontId="584" fillId="585" borderId="584" xfId="0" applyNumberFormat="1" applyFont="1" applyFill="1" applyBorder="1" applyAlignment="1">
      <alignment horizontal="right" wrapText="1" readingOrder="1"/>
    </xf>
    <xf numFmtId="164" fontId="585" fillId="586" borderId="585" xfId="0" applyNumberFormat="1" applyFont="1" applyFill="1" applyBorder="1" applyAlignment="1">
      <alignment horizontal="right" wrapText="1" readingOrder="1"/>
    </xf>
    <xf numFmtId="164" fontId="586" fillId="587" borderId="586" xfId="0" applyNumberFormat="1" applyFont="1" applyFill="1" applyBorder="1" applyAlignment="1">
      <alignment horizontal="right" wrapText="1" readingOrder="1"/>
    </xf>
    <xf numFmtId="164" fontId="587" fillId="588" borderId="587" xfId="0" applyNumberFormat="1" applyFont="1" applyFill="1" applyBorder="1" applyAlignment="1">
      <alignment horizontal="right" wrapText="1" readingOrder="1"/>
    </xf>
    <xf numFmtId="164" fontId="588" fillId="589" borderId="588" xfId="0" applyNumberFormat="1" applyFont="1" applyFill="1" applyBorder="1" applyAlignment="1">
      <alignment horizontal="right" wrapText="1" readingOrder="1"/>
    </xf>
    <xf numFmtId="164" fontId="589" fillId="590" borderId="589" xfId="0" applyNumberFormat="1" applyFont="1" applyFill="1" applyBorder="1" applyAlignment="1">
      <alignment horizontal="right" wrapText="1" readingOrder="1"/>
    </xf>
    <xf numFmtId="164" fontId="590" fillId="591" borderId="590" xfId="0" applyNumberFormat="1" applyFont="1" applyFill="1" applyBorder="1" applyAlignment="1">
      <alignment horizontal="right" wrapText="1" readingOrder="1"/>
    </xf>
    <xf numFmtId="164" fontId="591" fillId="592" borderId="591" xfId="0" applyNumberFormat="1" applyFont="1" applyFill="1" applyBorder="1" applyAlignment="1">
      <alignment horizontal="right" wrapText="1" readingOrder="1"/>
    </xf>
    <xf numFmtId="164" fontId="592" fillId="593" borderId="592" xfId="0" applyNumberFormat="1" applyFont="1" applyFill="1" applyBorder="1" applyAlignment="1">
      <alignment horizontal="right" wrapText="1" readingOrder="1"/>
    </xf>
    <xf numFmtId="164" fontId="593" fillId="594" borderId="593" xfId="0" applyNumberFormat="1" applyFont="1" applyFill="1" applyBorder="1" applyAlignment="1">
      <alignment horizontal="right" wrapText="1" readingOrder="1"/>
    </xf>
    <xf numFmtId="164" fontId="594" fillId="595" borderId="594" xfId="0" applyNumberFormat="1" applyFont="1" applyFill="1" applyBorder="1" applyAlignment="1">
      <alignment horizontal="right" wrapText="1" readingOrder="1"/>
    </xf>
    <xf numFmtId="164" fontId="595" fillId="596" borderId="595" xfId="0" applyNumberFormat="1" applyFont="1" applyFill="1" applyBorder="1" applyAlignment="1">
      <alignment horizontal="right" wrapText="1" readingOrder="1"/>
    </xf>
    <xf numFmtId="164" fontId="596" fillId="597" borderId="596" xfId="0" applyNumberFormat="1" applyFont="1" applyFill="1" applyBorder="1" applyAlignment="1">
      <alignment horizontal="right" wrapText="1" readingOrder="1"/>
    </xf>
    <xf numFmtId="0" fontId="597" fillId="598" borderId="597" xfId="0" applyFont="1" applyFill="1" applyBorder="1" applyAlignment="1">
      <alignment horizontal="left" vertical="top" wrapText="1" readingOrder="1"/>
    </xf>
    <xf numFmtId="164" fontId="598" fillId="599" borderId="598" xfId="0" applyNumberFormat="1" applyFont="1" applyFill="1" applyBorder="1" applyAlignment="1">
      <alignment horizontal="right" wrapText="1" readingOrder="1"/>
    </xf>
    <xf numFmtId="164" fontId="599" fillId="600" borderId="599" xfId="0" applyNumberFormat="1" applyFont="1" applyFill="1" applyBorder="1" applyAlignment="1">
      <alignment horizontal="right" wrapText="1" readingOrder="1"/>
    </xf>
    <xf numFmtId="164" fontId="600" fillId="601" borderId="600" xfId="0" applyNumberFormat="1" applyFont="1" applyFill="1" applyBorder="1" applyAlignment="1">
      <alignment horizontal="right" wrapText="1" readingOrder="1"/>
    </xf>
    <xf numFmtId="164" fontId="601" fillId="602" borderId="601" xfId="0" applyNumberFormat="1" applyFont="1" applyFill="1" applyBorder="1" applyAlignment="1">
      <alignment horizontal="right" wrapText="1" readingOrder="1"/>
    </xf>
    <xf numFmtId="164" fontId="602" fillId="603" borderId="602" xfId="0" applyNumberFormat="1" applyFont="1" applyFill="1" applyBorder="1" applyAlignment="1">
      <alignment horizontal="right" wrapText="1" readingOrder="1"/>
    </xf>
    <xf numFmtId="164" fontId="603" fillId="604" borderId="603" xfId="0" applyNumberFormat="1" applyFont="1" applyFill="1" applyBorder="1" applyAlignment="1">
      <alignment horizontal="right" wrapText="1" readingOrder="1"/>
    </xf>
    <xf numFmtId="164" fontId="604" fillId="605" borderId="604" xfId="0" applyNumberFormat="1" applyFont="1" applyFill="1" applyBorder="1" applyAlignment="1">
      <alignment horizontal="right" wrapText="1" readingOrder="1"/>
    </xf>
    <xf numFmtId="164" fontId="605" fillId="606" borderId="605" xfId="0" applyNumberFormat="1" applyFont="1" applyFill="1" applyBorder="1" applyAlignment="1">
      <alignment horizontal="right" wrapText="1" readingOrder="1"/>
    </xf>
    <xf numFmtId="164" fontId="606" fillId="607" borderId="606" xfId="0" applyNumberFormat="1" applyFont="1" applyFill="1" applyBorder="1" applyAlignment="1">
      <alignment horizontal="right" wrapText="1" readingOrder="1"/>
    </xf>
    <xf numFmtId="164" fontId="607" fillId="608" borderId="607" xfId="0" applyNumberFormat="1" applyFont="1" applyFill="1" applyBorder="1" applyAlignment="1">
      <alignment horizontal="right" wrapText="1" readingOrder="1"/>
    </xf>
    <xf numFmtId="164" fontId="608" fillId="609" borderId="608" xfId="0" applyNumberFormat="1" applyFont="1" applyFill="1" applyBorder="1" applyAlignment="1">
      <alignment horizontal="right" wrapText="1" readingOrder="1"/>
    </xf>
    <xf numFmtId="164" fontId="609" fillId="610" borderId="609" xfId="0" applyNumberFormat="1" applyFont="1" applyFill="1" applyBorder="1" applyAlignment="1">
      <alignment horizontal="right" wrapText="1" readingOrder="1"/>
    </xf>
    <xf numFmtId="164" fontId="610" fillId="611" borderId="610" xfId="0" applyNumberFormat="1" applyFont="1" applyFill="1" applyBorder="1" applyAlignment="1">
      <alignment horizontal="right" wrapText="1" readingOrder="1"/>
    </xf>
    <xf numFmtId="164" fontId="611" fillId="612" borderId="611" xfId="0" applyNumberFormat="1" applyFont="1" applyFill="1" applyBorder="1" applyAlignment="1">
      <alignment horizontal="right" wrapText="1" readingOrder="1"/>
    </xf>
    <xf numFmtId="164" fontId="612" fillId="613" borderId="612" xfId="0" applyNumberFormat="1" applyFont="1" applyFill="1" applyBorder="1" applyAlignment="1">
      <alignment horizontal="right" wrapText="1" readingOrder="1"/>
    </xf>
    <xf numFmtId="0" fontId="613" fillId="614" borderId="613" xfId="0" applyFont="1" applyFill="1" applyBorder="1" applyAlignment="1">
      <alignment horizontal="left" vertical="top" wrapText="1" readingOrder="1"/>
    </xf>
    <xf numFmtId="164" fontId="614" fillId="615" borderId="614" xfId="0" applyNumberFormat="1" applyFont="1" applyFill="1" applyBorder="1" applyAlignment="1">
      <alignment horizontal="right" wrapText="1" readingOrder="1"/>
    </xf>
    <xf numFmtId="164" fontId="615" fillId="616" borderId="615" xfId="0" applyNumberFormat="1" applyFont="1" applyFill="1" applyBorder="1" applyAlignment="1">
      <alignment horizontal="right" wrapText="1" readingOrder="1"/>
    </xf>
    <xf numFmtId="164" fontId="616" fillId="617" borderId="616" xfId="0" applyNumberFormat="1" applyFont="1" applyFill="1" applyBorder="1" applyAlignment="1">
      <alignment horizontal="right" wrapText="1" readingOrder="1"/>
    </xf>
    <xf numFmtId="164" fontId="617" fillId="618" borderId="617" xfId="0" applyNumberFormat="1" applyFont="1" applyFill="1" applyBorder="1" applyAlignment="1">
      <alignment horizontal="right" wrapText="1" readingOrder="1"/>
    </xf>
    <xf numFmtId="164" fontId="618" fillId="619" borderId="618" xfId="0" applyNumberFormat="1" applyFont="1" applyFill="1" applyBorder="1" applyAlignment="1">
      <alignment horizontal="right" wrapText="1" readingOrder="1"/>
    </xf>
    <xf numFmtId="164" fontId="619" fillId="620" borderId="619" xfId="0" applyNumberFormat="1" applyFont="1" applyFill="1" applyBorder="1" applyAlignment="1">
      <alignment horizontal="right" wrapText="1" readingOrder="1"/>
    </xf>
    <xf numFmtId="164" fontId="620" fillId="621" borderId="620" xfId="0" applyNumberFormat="1" applyFont="1" applyFill="1" applyBorder="1" applyAlignment="1">
      <alignment horizontal="right" wrapText="1" readingOrder="1"/>
    </xf>
    <xf numFmtId="164" fontId="621" fillId="622" borderId="621" xfId="0" applyNumberFormat="1" applyFont="1" applyFill="1" applyBorder="1" applyAlignment="1">
      <alignment horizontal="right" wrapText="1" readingOrder="1"/>
    </xf>
    <xf numFmtId="164" fontId="622" fillId="623" borderId="622" xfId="0" applyNumberFormat="1" applyFont="1" applyFill="1" applyBorder="1" applyAlignment="1">
      <alignment horizontal="right" wrapText="1" readingOrder="1"/>
    </xf>
    <xf numFmtId="164" fontId="623" fillId="624" borderId="623" xfId="0" applyNumberFormat="1" applyFont="1" applyFill="1" applyBorder="1" applyAlignment="1">
      <alignment horizontal="right" wrapText="1" readingOrder="1"/>
    </xf>
    <xf numFmtId="164" fontId="624" fillId="625" borderId="624" xfId="0" applyNumberFormat="1" applyFont="1" applyFill="1" applyBorder="1" applyAlignment="1">
      <alignment horizontal="right" wrapText="1" readingOrder="1"/>
    </xf>
    <xf numFmtId="164" fontId="625" fillId="626" borderId="625" xfId="0" applyNumberFormat="1" applyFont="1" applyFill="1" applyBorder="1" applyAlignment="1">
      <alignment horizontal="right" wrapText="1" readingOrder="1"/>
    </xf>
    <xf numFmtId="164" fontId="626" fillId="627" borderId="626" xfId="0" applyNumberFormat="1" applyFont="1" applyFill="1" applyBorder="1" applyAlignment="1">
      <alignment horizontal="right" wrapText="1" readingOrder="1"/>
    </xf>
    <xf numFmtId="164" fontId="627" fillId="628" borderId="627" xfId="0" applyNumberFormat="1" applyFont="1" applyFill="1" applyBorder="1" applyAlignment="1">
      <alignment horizontal="right" wrapText="1" readingOrder="1"/>
    </xf>
    <xf numFmtId="164" fontId="628" fillId="629" borderId="628" xfId="0" applyNumberFormat="1" applyFont="1" applyFill="1" applyBorder="1" applyAlignment="1">
      <alignment horizontal="right" wrapText="1" readingOrder="1"/>
    </xf>
    <xf numFmtId="0" fontId="629" fillId="630" borderId="629" xfId="0" applyFont="1" applyFill="1" applyBorder="1" applyAlignment="1">
      <alignment horizontal="left" vertical="top" wrapText="1" readingOrder="1"/>
    </xf>
    <xf numFmtId="0" fontId="630" fillId="631" borderId="630" xfId="0" applyFont="1" applyFill="1" applyBorder="1" applyAlignment="1">
      <alignment horizontal="right" wrapText="1" readingOrder="1"/>
    </xf>
    <xf numFmtId="0" fontId="631" fillId="632" borderId="631" xfId="0" applyFont="1" applyFill="1" applyBorder="1" applyAlignment="1">
      <alignment horizontal="right" wrapText="1" readingOrder="1"/>
    </xf>
    <xf numFmtId="0" fontId="632" fillId="633" borderId="632" xfId="0" applyFont="1" applyFill="1" applyBorder="1" applyAlignment="1">
      <alignment horizontal="right" wrapText="1" readingOrder="1"/>
    </xf>
    <xf numFmtId="0" fontId="633" fillId="634" borderId="633" xfId="0" applyFont="1" applyFill="1" applyBorder="1" applyAlignment="1">
      <alignment horizontal="right" wrapText="1" readingOrder="1"/>
    </xf>
    <xf numFmtId="0" fontId="634" fillId="635" borderId="634" xfId="0" applyFont="1" applyFill="1" applyBorder="1" applyAlignment="1">
      <alignment horizontal="right" wrapText="1" readingOrder="1"/>
    </xf>
    <xf numFmtId="0" fontId="635" fillId="636" borderId="635" xfId="0" applyFont="1" applyFill="1" applyBorder="1" applyAlignment="1">
      <alignment horizontal="right" wrapText="1" readingOrder="1"/>
    </xf>
    <xf numFmtId="0" fontId="636" fillId="637" borderId="636" xfId="0" applyFont="1" applyFill="1" applyBorder="1" applyAlignment="1">
      <alignment horizontal="right" wrapText="1" readingOrder="1"/>
    </xf>
    <xf numFmtId="0" fontId="637" fillId="638" borderId="637" xfId="0" applyFont="1" applyFill="1" applyBorder="1" applyAlignment="1">
      <alignment horizontal="right" wrapText="1" readingOrder="1"/>
    </xf>
    <xf numFmtId="0" fontId="638" fillId="639" borderId="638" xfId="0" applyFont="1" applyFill="1" applyBorder="1" applyAlignment="1">
      <alignment horizontal="right" wrapText="1" readingOrder="1"/>
    </xf>
    <xf numFmtId="0" fontId="639" fillId="640" borderId="639" xfId="0" applyFont="1" applyFill="1" applyBorder="1" applyAlignment="1">
      <alignment horizontal="right" wrapText="1" readingOrder="1"/>
    </xf>
    <xf numFmtId="0" fontId="640" fillId="641" borderId="640" xfId="0" applyFont="1" applyFill="1" applyBorder="1" applyAlignment="1">
      <alignment horizontal="right" wrapText="1" readingOrder="1"/>
    </xf>
    <xf numFmtId="0" fontId="641" fillId="642" borderId="641" xfId="0" applyFont="1" applyFill="1" applyBorder="1" applyAlignment="1">
      <alignment horizontal="right" wrapText="1" readingOrder="1"/>
    </xf>
    <xf numFmtId="0" fontId="642" fillId="643" borderId="642" xfId="0" applyFont="1" applyFill="1" applyBorder="1" applyAlignment="1">
      <alignment horizontal="right" wrapText="1" readingOrder="1"/>
    </xf>
    <xf numFmtId="0" fontId="643" fillId="644" borderId="643" xfId="0" applyFont="1" applyFill="1" applyBorder="1" applyAlignment="1">
      <alignment horizontal="right" wrapText="1" readingOrder="1"/>
    </xf>
    <xf numFmtId="0" fontId="644" fillId="645" borderId="644" xfId="0" applyFont="1" applyFill="1" applyBorder="1" applyAlignment="1">
      <alignment horizontal="right" wrapText="1" readingOrder="1"/>
    </xf>
    <xf numFmtId="0" fontId="645" fillId="646" borderId="645" xfId="0" applyFont="1" applyFill="1" applyBorder="1" applyAlignment="1">
      <alignment horizontal="left" vertical="top" wrapText="1" readingOrder="1"/>
    </xf>
    <xf numFmtId="164" fontId="646" fillId="647" borderId="646" xfId="0" applyNumberFormat="1" applyFont="1" applyFill="1" applyBorder="1" applyAlignment="1">
      <alignment horizontal="right" wrapText="1" readingOrder="1"/>
    </xf>
    <xf numFmtId="164" fontId="647" fillId="648" borderId="647" xfId="0" applyNumberFormat="1" applyFont="1" applyFill="1" applyBorder="1" applyAlignment="1">
      <alignment horizontal="right" wrapText="1" readingOrder="1"/>
    </xf>
    <xf numFmtId="164" fontId="648" fillId="649" borderId="648" xfId="0" applyNumberFormat="1" applyFont="1" applyFill="1" applyBorder="1" applyAlignment="1">
      <alignment horizontal="right" wrapText="1" readingOrder="1"/>
    </xf>
    <xf numFmtId="164" fontId="649" fillId="650" borderId="649" xfId="0" applyNumberFormat="1" applyFont="1" applyFill="1" applyBorder="1" applyAlignment="1">
      <alignment horizontal="right" wrapText="1" readingOrder="1"/>
    </xf>
    <xf numFmtId="164" fontId="650" fillId="651" borderId="650" xfId="0" applyNumberFormat="1" applyFont="1" applyFill="1" applyBorder="1" applyAlignment="1">
      <alignment horizontal="right" wrapText="1" readingOrder="1"/>
    </xf>
    <xf numFmtId="164" fontId="651" fillId="652" borderId="651" xfId="0" applyNumberFormat="1" applyFont="1" applyFill="1" applyBorder="1" applyAlignment="1">
      <alignment horizontal="right" wrapText="1" readingOrder="1"/>
    </xf>
    <xf numFmtId="164" fontId="652" fillId="653" borderId="652" xfId="0" applyNumberFormat="1" applyFont="1" applyFill="1" applyBorder="1" applyAlignment="1">
      <alignment horizontal="right" wrapText="1" readingOrder="1"/>
    </xf>
    <xf numFmtId="164" fontId="653" fillId="654" borderId="653" xfId="0" applyNumberFormat="1" applyFont="1" applyFill="1" applyBorder="1" applyAlignment="1">
      <alignment horizontal="right" wrapText="1" readingOrder="1"/>
    </xf>
    <xf numFmtId="164" fontId="654" fillId="655" borderId="654" xfId="0" applyNumberFormat="1" applyFont="1" applyFill="1" applyBorder="1" applyAlignment="1">
      <alignment horizontal="right" wrapText="1" readingOrder="1"/>
    </xf>
    <xf numFmtId="164" fontId="655" fillId="656" borderId="655" xfId="0" applyNumberFormat="1" applyFont="1" applyFill="1" applyBorder="1" applyAlignment="1">
      <alignment horizontal="right" wrapText="1" readingOrder="1"/>
    </xf>
    <xf numFmtId="164" fontId="656" fillId="657" borderId="656" xfId="0" applyNumberFormat="1" applyFont="1" applyFill="1" applyBorder="1" applyAlignment="1">
      <alignment horizontal="right" wrapText="1" readingOrder="1"/>
    </xf>
    <xf numFmtId="164" fontId="657" fillId="658" borderId="657" xfId="0" applyNumberFormat="1" applyFont="1" applyFill="1" applyBorder="1" applyAlignment="1">
      <alignment horizontal="right" wrapText="1" readingOrder="1"/>
    </xf>
    <xf numFmtId="164" fontId="658" fillId="659" borderId="658" xfId="0" applyNumberFormat="1" applyFont="1" applyFill="1" applyBorder="1" applyAlignment="1">
      <alignment horizontal="right" wrapText="1" readingOrder="1"/>
    </xf>
    <xf numFmtId="164" fontId="659" fillId="660" borderId="659" xfId="0" applyNumberFormat="1" applyFont="1" applyFill="1" applyBorder="1" applyAlignment="1">
      <alignment horizontal="right" wrapText="1" readingOrder="1"/>
    </xf>
    <xf numFmtId="164" fontId="660" fillId="661" borderId="660" xfId="0" applyNumberFormat="1" applyFont="1" applyFill="1" applyBorder="1" applyAlignment="1">
      <alignment horizontal="right" wrapText="1" readingOrder="1"/>
    </xf>
    <xf numFmtId="0" fontId="661" fillId="662" borderId="661" xfId="0" applyFont="1" applyFill="1" applyBorder="1" applyAlignment="1">
      <alignment horizontal="left" vertical="top" wrapText="1" readingOrder="1"/>
    </xf>
    <xf numFmtId="0" fontId="662" fillId="663" borderId="662" xfId="0" applyFont="1" applyFill="1" applyBorder="1" applyAlignment="1">
      <alignment horizontal="right" wrapText="1" readingOrder="1"/>
    </xf>
    <xf numFmtId="0" fontId="663" fillId="664" borderId="663" xfId="0" applyFont="1" applyFill="1" applyBorder="1" applyAlignment="1">
      <alignment horizontal="right" wrapText="1" readingOrder="1"/>
    </xf>
    <xf numFmtId="0" fontId="664" fillId="665" borderId="664" xfId="0" applyFont="1" applyFill="1" applyBorder="1" applyAlignment="1">
      <alignment horizontal="right" wrapText="1" readingOrder="1"/>
    </xf>
    <xf numFmtId="0" fontId="665" fillId="666" borderId="665" xfId="0" applyFont="1" applyFill="1" applyBorder="1" applyAlignment="1">
      <alignment horizontal="right" wrapText="1" readingOrder="1"/>
    </xf>
    <xf numFmtId="164" fontId="666" fillId="667" borderId="666" xfId="0" applyNumberFormat="1" applyFont="1" applyFill="1" applyBorder="1" applyAlignment="1">
      <alignment horizontal="right" wrapText="1" readingOrder="1"/>
    </xf>
    <xf numFmtId="164" fontId="667" fillId="668" borderId="667" xfId="0" applyNumberFormat="1" applyFont="1" applyFill="1" applyBorder="1" applyAlignment="1">
      <alignment horizontal="right" wrapText="1" readingOrder="1"/>
    </xf>
    <xf numFmtId="164" fontId="668" fillId="669" borderId="668" xfId="0" applyNumberFormat="1" applyFont="1" applyFill="1" applyBorder="1" applyAlignment="1">
      <alignment horizontal="right" wrapText="1" readingOrder="1"/>
    </xf>
    <xf numFmtId="164" fontId="669" fillId="670" borderId="669" xfId="0" applyNumberFormat="1" applyFont="1" applyFill="1" applyBorder="1" applyAlignment="1">
      <alignment horizontal="right" wrapText="1" readingOrder="1"/>
    </xf>
    <xf numFmtId="164" fontId="670" fillId="671" borderId="670" xfId="0" applyNumberFormat="1" applyFont="1" applyFill="1" applyBorder="1" applyAlignment="1">
      <alignment horizontal="right" wrapText="1" readingOrder="1"/>
    </xf>
    <xf numFmtId="164" fontId="671" fillId="672" borderId="671" xfId="0" applyNumberFormat="1" applyFont="1" applyFill="1" applyBorder="1" applyAlignment="1">
      <alignment horizontal="right" wrapText="1" readingOrder="1"/>
    </xf>
    <xf numFmtId="164" fontId="672" fillId="673" borderId="672" xfId="0" applyNumberFormat="1" applyFont="1" applyFill="1" applyBorder="1" applyAlignment="1">
      <alignment horizontal="right" wrapText="1" readingOrder="1"/>
    </xf>
    <xf numFmtId="164" fontId="673" fillId="674" borderId="673" xfId="0" applyNumberFormat="1" applyFont="1" applyFill="1" applyBorder="1" applyAlignment="1">
      <alignment horizontal="right" wrapText="1" readingOrder="1"/>
    </xf>
    <xf numFmtId="164" fontId="674" fillId="675" borderId="674" xfId="0" applyNumberFormat="1" applyFont="1" applyFill="1" applyBorder="1" applyAlignment="1">
      <alignment horizontal="right" wrapText="1" readingOrder="1"/>
    </xf>
    <xf numFmtId="164" fontId="675" fillId="676" borderId="675" xfId="0" applyNumberFormat="1" applyFont="1" applyFill="1" applyBorder="1" applyAlignment="1">
      <alignment horizontal="right" wrapText="1" readingOrder="1"/>
    </xf>
    <xf numFmtId="164" fontId="676" fillId="677" borderId="676" xfId="0" applyNumberFormat="1" applyFont="1" applyFill="1" applyBorder="1" applyAlignment="1">
      <alignment horizontal="right" wrapText="1" readingOrder="1"/>
    </xf>
    <xf numFmtId="0" fontId="677" fillId="678" borderId="677" xfId="0" applyFont="1" applyFill="1" applyBorder="1" applyAlignment="1">
      <alignment horizontal="left" vertical="top" wrapText="1" readingOrder="1"/>
    </xf>
    <xf numFmtId="164" fontId="678" fillId="679" borderId="678" xfId="0" applyNumberFormat="1" applyFont="1" applyFill="1" applyBorder="1" applyAlignment="1">
      <alignment horizontal="right" wrapText="1" readingOrder="1"/>
    </xf>
    <xf numFmtId="164" fontId="679" fillId="680" borderId="679" xfId="0" applyNumberFormat="1" applyFont="1" applyFill="1" applyBorder="1" applyAlignment="1">
      <alignment horizontal="right" wrapText="1" readingOrder="1"/>
    </xf>
    <xf numFmtId="164" fontId="680" fillId="681" borderId="680" xfId="0" applyNumberFormat="1" applyFont="1" applyFill="1" applyBorder="1" applyAlignment="1">
      <alignment horizontal="right" wrapText="1" readingOrder="1"/>
    </xf>
    <xf numFmtId="164" fontId="681" fillId="682" borderId="681" xfId="0" applyNumberFormat="1" applyFont="1" applyFill="1" applyBorder="1" applyAlignment="1">
      <alignment horizontal="right" wrapText="1" readingOrder="1"/>
    </xf>
    <xf numFmtId="164" fontId="682" fillId="683" borderId="682" xfId="0" applyNumberFormat="1" applyFont="1" applyFill="1" applyBorder="1" applyAlignment="1">
      <alignment horizontal="right" wrapText="1" readingOrder="1"/>
    </xf>
    <xf numFmtId="164" fontId="683" fillId="684" borderId="683" xfId="0" applyNumberFormat="1" applyFont="1" applyFill="1" applyBorder="1" applyAlignment="1">
      <alignment horizontal="right" wrapText="1" readingOrder="1"/>
    </xf>
    <xf numFmtId="164" fontId="684" fillId="685" borderId="684" xfId="0" applyNumberFormat="1" applyFont="1" applyFill="1" applyBorder="1" applyAlignment="1">
      <alignment horizontal="right" wrapText="1" readingOrder="1"/>
    </xf>
    <xf numFmtId="164" fontId="685" fillId="686" borderId="685" xfId="0" applyNumberFormat="1" applyFont="1" applyFill="1" applyBorder="1" applyAlignment="1">
      <alignment horizontal="right" wrapText="1" readingOrder="1"/>
    </xf>
    <xf numFmtId="164" fontId="686" fillId="687" borderId="686" xfId="0" applyNumberFormat="1" applyFont="1" applyFill="1" applyBorder="1" applyAlignment="1">
      <alignment horizontal="right" wrapText="1" readingOrder="1"/>
    </xf>
    <xf numFmtId="164" fontId="687" fillId="688" borderId="687" xfId="0" applyNumberFormat="1" applyFont="1" applyFill="1" applyBorder="1" applyAlignment="1">
      <alignment horizontal="right" wrapText="1" readingOrder="1"/>
    </xf>
    <xf numFmtId="164" fontId="688" fillId="689" borderId="688" xfId="0" applyNumberFormat="1" applyFont="1" applyFill="1" applyBorder="1" applyAlignment="1">
      <alignment horizontal="right" wrapText="1" readingOrder="1"/>
    </xf>
    <xf numFmtId="164" fontId="689" fillId="690" borderId="689" xfId="0" applyNumberFormat="1" applyFont="1" applyFill="1" applyBorder="1" applyAlignment="1">
      <alignment horizontal="right" wrapText="1" readingOrder="1"/>
    </xf>
    <xf numFmtId="164" fontId="690" fillId="691" borderId="690" xfId="0" applyNumberFormat="1" applyFont="1" applyFill="1" applyBorder="1" applyAlignment="1">
      <alignment horizontal="right" wrapText="1" readingOrder="1"/>
    </xf>
    <xf numFmtId="164" fontId="691" fillId="692" borderId="691" xfId="0" applyNumberFormat="1" applyFont="1" applyFill="1" applyBorder="1" applyAlignment="1">
      <alignment horizontal="right" wrapText="1" readingOrder="1"/>
    </xf>
    <xf numFmtId="164" fontId="692" fillId="693" borderId="692" xfId="0" applyNumberFormat="1" applyFont="1" applyFill="1" applyBorder="1" applyAlignment="1">
      <alignment horizontal="right" wrapText="1" readingOrder="1"/>
    </xf>
    <xf numFmtId="0" fontId="693" fillId="694" borderId="693" xfId="0" applyFont="1" applyFill="1" applyBorder="1" applyAlignment="1">
      <alignment horizontal="left" vertical="top" wrapText="1" readingOrder="1"/>
    </xf>
    <xf numFmtId="0" fontId="694" fillId="695" borderId="694" xfId="0" applyFont="1" applyFill="1" applyBorder="1" applyAlignment="1">
      <alignment horizontal="right" wrapText="1" readingOrder="1"/>
    </xf>
    <xf numFmtId="0" fontId="695" fillId="696" borderId="695" xfId="0" applyFont="1" applyFill="1" applyBorder="1" applyAlignment="1">
      <alignment horizontal="right" wrapText="1" readingOrder="1"/>
    </xf>
    <xf numFmtId="164" fontId="696" fillId="697" borderId="696" xfId="0" applyNumberFormat="1" applyFont="1" applyFill="1" applyBorder="1" applyAlignment="1">
      <alignment horizontal="right" wrapText="1" readingOrder="1"/>
    </xf>
    <xf numFmtId="164" fontId="697" fillId="698" borderId="697" xfId="0" applyNumberFormat="1" applyFont="1" applyFill="1" applyBorder="1" applyAlignment="1">
      <alignment horizontal="right" wrapText="1" readingOrder="1"/>
    </xf>
    <xf numFmtId="164" fontId="698" fillId="699" borderId="698" xfId="0" applyNumberFormat="1" applyFont="1" applyFill="1" applyBorder="1" applyAlignment="1">
      <alignment horizontal="right" wrapText="1" readingOrder="1"/>
    </xf>
    <xf numFmtId="164" fontId="699" fillId="700" borderId="699" xfId="0" applyNumberFormat="1" applyFont="1" applyFill="1" applyBorder="1" applyAlignment="1">
      <alignment horizontal="right" wrapText="1" readingOrder="1"/>
    </xf>
    <xf numFmtId="164" fontId="700" fillId="701" borderId="700" xfId="0" applyNumberFormat="1" applyFont="1" applyFill="1" applyBorder="1" applyAlignment="1">
      <alignment horizontal="right" wrapText="1" readingOrder="1"/>
    </xf>
    <xf numFmtId="164" fontId="701" fillId="702" borderId="701" xfId="0" applyNumberFormat="1" applyFont="1" applyFill="1" applyBorder="1" applyAlignment="1">
      <alignment horizontal="right" wrapText="1" readingOrder="1"/>
    </xf>
    <xf numFmtId="164" fontId="702" fillId="703" borderId="702" xfId="0" applyNumberFormat="1" applyFont="1" applyFill="1" applyBorder="1" applyAlignment="1">
      <alignment horizontal="right" wrapText="1" readingOrder="1"/>
    </xf>
    <xf numFmtId="164" fontId="703" fillId="704" borderId="703" xfId="0" applyNumberFormat="1" applyFont="1" applyFill="1" applyBorder="1" applyAlignment="1">
      <alignment horizontal="right" wrapText="1" readingOrder="1"/>
    </xf>
    <xf numFmtId="164" fontId="704" fillId="705" borderId="704" xfId="0" applyNumberFormat="1" applyFont="1" applyFill="1" applyBorder="1" applyAlignment="1">
      <alignment horizontal="right" wrapText="1" readingOrder="1"/>
    </xf>
    <xf numFmtId="164" fontId="705" fillId="706" borderId="705" xfId="0" applyNumberFormat="1" applyFont="1" applyFill="1" applyBorder="1" applyAlignment="1">
      <alignment horizontal="right" wrapText="1" readingOrder="1"/>
    </xf>
    <xf numFmtId="164" fontId="706" fillId="707" borderId="706" xfId="0" applyNumberFormat="1" applyFont="1" applyFill="1" applyBorder="1" applyAlignment="1">
      <alignment horizontal="right" wrapText="1" readingOrder="1"/>
    </xf>
    <xf numFmtId="164" fontId="707" fillId="708" borderId="707" xfId="0" applyNumberFormat="1" applyFont="1" applyFill="1" applyBorder="1" applyAlignment="1">
      <alignment horizontal="right" wrapText="1" readingOrder="1"/>
    </xf>
    <xf numFmtId="164" fontId="708" fillId="709" borderId="708" xfId="0" applyNumberFormat="1" applyFont="1" applyFill="1" applyBorder="1" applyAlignment="1">
      <alignment horizontal="right" wrapText="1" readingOrder="1"/>
    </xf>
    <xf numFmtId="0" fontId="709" fillId="710" borderId="709" xfId="0" applyFont="1" applyFill="1" applyBorder="1" applyAlignment="1">
      <alignment horizontal="left" vertical="top" wrapText="1" readingOrder="1"/>
    </xf>
    <xf numFmtId="0" fontId="710" fillId="711" borderId="710" xfId="0" applyFont="1" applyFill="1" applyBorder="1" applyAlignment="1">
      <alignment horizontal="right" wrapText="1" readingOrder="1"/>
    </xf>
    <xf numFmtId="0" fontId="711" fillId="712" borderId="711" xfId="0" applyFont="1" applyFill="1" applyBorder="1" applyAlignment="1">
      <alignment horizontal="right" wrapText="1" readingOrder="1"/>
    </xf>
    <xf numFmtId="164" fontId="712" fillId="713" borderId="712" xfId="0" applyNumberFormat="1" applyFont="1" applyFill="1" applyBorder="1" applyAlignment="1">
      <alignment horizontal="right" wrapText="1" readingOrder="1"/>
    </xf>
    <xf numFmtId="164" fontId="713" fillId="714" borderId="713" xfId="0" applyNumberFormat="1" applyFont="1" applyFill="1" applyBorder="1" applyAlignment="1">
      <alignment horizontal="right" wrapText="1" readingOrder="1"/>
    </xf>
    <xf numFmtId="164" fontId="714" fillId="715" borderId="714" xfId="0" applyNumberFormat="1" applyFont="1" applyFill="1" applyBorder="1" applyAlignment="1">
      <alignment horizontal="right" wrapText="1" readingOrder="1"/>
    </xf>
    <xf numFmtId="164" fontId="715" fillId="716" borderId="715" xfId="0" applyNumberFormat="1" applyFont="1" applyFill="1" applyBorder="1" applyAlignment="1">
      <alignment horizontal="right" wrapText="1" readingOrder="1"/>
    </xf>
    <xf numFmtId="164" fontId="716" fillId="717" borderId="716" xfId="0" applyNumberFormat="1" applyFont="1" applyFill="1" applyBorder="1" applyAlignment="1">
      <alignment horizontal="right" wrapText="1" readingOrder="1"/>
    </xf>
    <xf numFmtId="164" fontId="717" fillId="718" borderId="717" xfId="0" applyNumberFormat="1" applyFont="1" applyFill="1" applyBorder="1" applyAlignment="1">
      <alignment horizontal="right" wrapText="1" readingOrder="1"/>
    </xf>
    <xf numFmtId="164" fontId="718" fillId="719" borderId="718" xfId="0" applyNumberFormat="1" applyFont="1" applyFill="1" applyBorder="1" applyAlignment="1">
      <alignment horizontal="right" wrapText="1" readingOrder="1"/>
    </xf>
    <xf numFmtId="164" fontId="719" fillId="720" borderId="719" xfId="0" applyNumberFormat="1" applyFont="1" applyFill="1" applyBorder="1" applyAlignment="1">
      <alignment horizontal="right" wrapText="1" readingOrder="1"/>
    </xf>
    <xf numFmtId="164" fontId="720" fillId="721" borderId="720" xfId="0" applyNumberFormat="1" applyFont="1" applyFill="1" applyBorder="1" applyAlignment="1">
      <alignment horizontal="right" wrapText="1" readingOrder="1"/>
    </xf>
    <xf numFmtId="164" fontId="721" fillId="722" borderId="721" xfId="0" applyNumberFormat="1" applyFont="1" applyFill="1" applyBorder="1" applyAlignment="1">
      <alignment horizontal="right" wrapText="1" readingOrder="1"/>
    </xf>
    <xf numFmtId="164" fontId="722" fillId="723" borderId="722" xfId="0" applyNumberFormat="1" applyFont="1" applyFill="1" applyBorder="1" applyAlignment="1">
      <alignment horizontal="right" wrapText="1" readingOrder="1"/>
    </xf>
    <xf numFmtId="164" fontId="723" fillId="724" borderId="723" xfId="0" applyNumberFormat="1" applyFont="1" applyFill="1" applyBorder="1" applyAlignment="1">
      <alignment horizontal="right" wrapText="1" readingOrder="1"/>
    </xf>
    <xf numFmtId="164" fontId="724" fillId="725" borderId="724" xfId="0" applyNumberFormat="1" applyFont="1" applyFill="1" applyBorder="1" applyAlignment="1">
      <alignment horizontal="right" wrapText="1" readingOrder="1"/>
    </xf>
    <xf numFmtId="0" fontId="725" fillId="726" borderId="725" xfId="0" applyFont="1" applyFill="1" applyBorder="1" applyAlignment="1">
      <alignment horizontal="left" vertical="top" wrapText="1" readingOrder="1"/>
    </xf>
    <xf numFmtId="164" fontId="726" fillId="727" borderId="726" xfId="0" applyNumberFormat="1" applyFont="1" applyFill="1" applyBorder="1" applyAlignment="1">
      <alignment horizontal="right" wrapText="1" readingOrder="1"/>
    </xf>
    <xf numFmtId="164" fontId="727" fillId="728" borderId="727" xfId="0" applyNumberFormat="1" applyFont="1" applyFill="1" applyBorder="1" applyAlignment="1">
      <alignment horizontal="right" wrapText="1" readingOrder="1"/>
    </xf>
    <xf numFmtId="164" fontId="728" fillId="729" borderId="728" xfId="0" applyNumberFormat="1" applyFont="1" applyFill="1" applyBorder="1" applyAlignment="1">
      <alignment horizontal="right" wrapText="1" readingOrder="1"/>
    </xf>
    <xf numFmtId="164" fontId="729" fillId="730" borderId="729" xfId="0" applyNumberFormat="1" applyFont="1" applyFill="1" applyBorder="1" applyAlignment="1">
      <alignment horizontal="right" wrapText="1" readingOrder="1"/>
    </xf>
    <xf numFmtId="164" fontId="730" fillId="731" borderId="730" xfId="0" applyNumberFormat="1" applyFont="1" applyFill="1" applyBorder="1" applyAlignment="1">
      <alignment horizontal="right" wrapText="1" readingOrder="1"/>
    </xf>
    <xf numFmtId="164" fontId="731" fillId="732" borderId="731" xfId="0" applyNumberFormat="1" applyFont="1" applyFill="1" applyBorder="1" applyAlignment="1">
      <alignment horizontal="right" wrapText="1" readingOrder="1"/>
    </xf>
    <xf numFmtId="164" fontId="732" fillId="733" borderId="732" xfId="0" applyNumberFormat="1" applyFont="1" applyFill="1" applyBorder="1" applyAlignment="1">
      <alignment horizontal="right" wrapText="1" readingOrder="1"/>
    </xf>
    <xf numFmtId="164" fontId="733" fillId="734" borderId="733" xfId="0" applyNumberFormat="1" applyFont="1" applyFill="1" applyBorder="1" applyAlignment="1">
      <alignment horizontal="right" wrapText="1" readingOrder="1"/>
    </xf>
    <xf numFmtId="0" fontId="734" fillId="735" borderId="734" xfId="0" applyFont="1" applyFill="1" applyBorder="1" applyAlignment="1">
      <alignment horizontal="right" wrapText="1" readingOrder="1"/>
    </xf>
    <xf numFmtId="0" fontId="735" fillId="736" borderId="735" xfId="0" applyFont="1" applyFill="1" applyBorder="1" applyAlignment="1">
      <alignment horizontal="right" wrapText="1" readingOrder="1"/>
    </xf>
    <xf numFmtId="0" fontId="736" fillId="737" borderId="736" xfId="0" applyFont="1" applyFill="1" applyBorder="1" applyAlignment="1">
      <alignment horizontal="right" wrapText="1" readingOrder="1"/>
    </xf>
    <xf numFmtId="0" fontId="737" fillId="738" borderId="737" xfId="0" applyFont="1" applyFill="1" applyBorder="1" applyAlignment="1">
      <alignment horizontal="right" wrapText="1" readingOrder="1"/>
    </xf>
    <xf numFmtId="0" fontId="738" fillId="739" borderId="738" xfId="0" applyFont="1" applyFill="1" applyBorder="1" applyAlignment="1">
      <alignment horizontal="right" wrapText="1" readingOrder="1"/>
    </xf>
    <xf numFmtId="0" fontId="739" fillId="740" borderId="739" xfId="0" applyFont="1" applyFill="1" applyBorder="1" applyAlignment="1">
      <alignment horizontal="right" wrapText="1" readingOrder="1"/>
    </xf>
    <xf numFmtId="0" fontId="740" fillId="741" borderId="740" xfId="0" applyFont="1" applyFill="1" applyBorder="1" applyAlignment="1">
      <alignment horizontal="right" wrapText="1" readingOrder="1"/>
    </xf>
    <xf numFmtId="0" fontId="741" fillId="742" borderId="741" xfId="0" applyFont="1" applyFill="1" applyBorder="1" applyAlignment="1">
      <alignment horizontal="left" vertical="top" wrapText="1" readingOrder="1"/>
    </xf>
    <xf numFmtId="164" fontId="742" fillId="743" borderId="742" xfId="0" applyNumberFormat="1" applyFont="1" applyFill="1" applyBorder="1" applyAlignment="1">
      <alignment horizontal="right" wrapText="1" readingOrder="1"/>
    </xf>
    <xf numFmtId="164" fontId="743" fillId="744" borderId="743" xfId="0" applyNumberFormat="1" applyFont="1" applyFill="1" applyBorder="1" applyAlignment="1">
      <alignment horizontal="right" wrapText="1" readingOrder="1"/>
    </xf>
    <xf numFmtId="164" fontId="744" fillId="745" borderId="744" xfId="0" applyNumberFormat="1" applyFont="1" applyFill="1" applyBorder="1" applyAlignment="1">
      <alignment horizontal="right" wrapText="1" readingOrder="1"/>
    </xf>
    <xf numFmtId="164" fontId="745" fillId="746" borderId="745" xfId="0" applyNumberFormat="1" applyFont="1" applyFill="1" applyBorder="1" applyAlignment="1">
      <alignment horizontal="right" wrapText="1" readingOrder="1"/>
    </xf>
    <xf numFmtId="164" fontId="746" fillId="747" borderId="746" xfId="0" applyNumberFormat="1" applyFont="1" applyFill="1" applyBorder="1" applyAlignment="1">
      <alignment horizontal="right" wrapText="1" readingOrder="1"/>
    </xf>
    <xf numFmtId="164" fontId="747" fillId="748" borderId="747" xfId="0" applyNumberFormat="1" applyFont="1" applyFill="1" applyBorder="1" applyAlignment="1">
      <alignment horizontal="right" wrapText="1" readingOrder="1"/>
    </xf>
    <xf numFmtId="164" fontId="748" fillId="749" borderId="748" xfId="0" applyNumberFormat="1" applyFont="1" applyFill="1" applyBorder="1" applyAlignment="1">
      <alignment horizontal="right" wrapText="1" readingOrder="1"/>
    </xf>
    <xf numFmtId="164" fontId="749" fillId="750" borderId="749" xfId="0" applyNumberFormat="1" applyFont="1" applyFill="1" applyBorder="1" applyAlignment="1">
      <alignment horizontal="right" wrapText="1" readingOrder="1"/>
    </xf>
    <xf numFmtId="164" fontId="750" fillId="751" borderId="750" xfId="0" applyNumberFormat="1" applyFont="1" applyFill="1" applyBorder="1" applyAlignment="1">
      <alignment horizontal="right" wrapText="1" readingOrder="1"/>
    </xf>
    <xf numFmtId="164" fontId="751" fillId="752" borderId="751" xfId="0" applyNumberFormat="1" applyFont="1" applyFill="1" applyBorder="1" applyAlignment="1">
      <alignment horizontal="right" wrapText="1" readingOrder="1"/>
    </xf>
    <xf numFmtId="164" fontId="752" fillId="753" borderId="752" xfId="0" applyNumberFormat="1" applyFont="1" applyFill="1" applyBorder="1" applyAlignment="1">
      <alignment horizontal="right" wrapText="1" readingOrder="1"/>
    </xf>
    <xf numFmtId="164" fontId="753" fillId="754" borderId="753" xfId="0" applyNumberFormat="1" applyFont="1" applyFill="1" applyBorder="1" applyAlignment="1">
      <alignment horizontal="right" wrapText="1" readingOrder="1"/>
    </xf>
    <xf numFmtId="164" fontId="754" fillId="755" borderId="754" xfId="0" applyNumberFormat="1" applyFont="1" applyFill="1" applyBorder="1" applyAlignment="1">
      <alignment horizontal="right" wrapText="1" readingOrder="1"/>
    </xf>
    <xf numFmtId="164" fontId="755" fillId="756" borderId="755" xfId="0" applyNumberFormat="1" applyFont="1" applyFill="1" applyBorder="1" applyAlignment="1">
      <alignment horizontal="right" wrapText="1" readingOrder="1"/>
    </xf>
    <xf numFmtId="164" fontId="756" fillId="757" borderId="756" xfId="0" applyNumberFormat="1" applyFont="1" applyFill="1" applyBorder="1" applyAlignment="1">
      <alignment horizontal="right" wrapText="1" readingOrder="1"/>
    </xf>
    <xf numFmtId="0" fontId="757" fillId="758" borderId="757" xfId="0" applyFont="1" applyFill="1" applyBorder="1" applyAlignment="1">
      <alignment readingOrder="1"/>
    </xf>
    <xf numFmtId="0" fontId="758" fillId="759" borderId="758" xfId="0" applyFont="1" applyFill="1" applyBorder="1"/>
    <xf numFmtId="0" fontId="759" fillId="760" borderId="759" xfId="0" applyFont="1" applyFill="1" applyBorder="1" applyAlignment="1">
      <alignment horizontal="left" vertical="top" wrapText="1"/>
    </xf>
    <xf numFmtId="0" fontId="760" fillId="761" borderId="760" xfId="0" applyFont="1" applyFill="1" applyBorder="1" applyAlignment="1">
      <alignment horizontal="left" vertical="top" wrapText="1"/>
    </xf>
    <xf numFmtId="165" fontId="0" fillId="0" borderId="0" xfId="0" applyNumberFormat="1"/>
    <xf numFmtId="165" fontId="761" fillId="0" borderId="0" xfId="0" applyNumberFormat="1" applyFont="1"/>
    <xf numFmtId="165" fontId="76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data-explorer.oecd.org/vis?lc=en&amp;pg=0&amp;tm=long%20term%20interest%20rates&amp;snb=1&amp;fc=Economic%20activity&amp;fs%5b0%5d=Frequency%20of%20observation%2C0%7CAnnual%23A%23&amp;fs%5b1%5d=Measure%2C0%7CLong-term%20interest%20rates%23IRLT%23&amp;fs%5b2%5d=Economic%20activity%2C0%7CTotal%20-%20all%20activities%23_T%23&amp;vw=tb&amp;df%5bds%5d=dsDisseminateFinalDMZ&amp;df%5bid%5d=DSD_KEI%40DF_KEI&amp;df%5bag%5d=OECD.SDD.STES&amp;df%5bvs%5d=4.0&amp;hc%5bMeasure%5d=&amp;hc%5bTopic%5d=&amp;hc%5bUnit%20of%20measure%5d=&amp;hc%5bTransformation%5d=&amp;dq=AUT%2BBEL%2BCAN%2BCHL%2BCOL%2BCRI%2BCZE%2BDNK%2BEST%2BFIN%2BFRA%2BDEU%2BGRC%2BHUN%2BISL%2BIRL%2BISR%2BITA%2BJPN%2BKOR%2BLVA%2BLTU%2BLUX%2BMEX%2BNLD%2BNZL%2BNOR%2BPOL%2BPRT%2BSVK%2BSVN%2BESP%2BSWE%2BCHE%2BTUR%2BGBR%2BUSA%2BG7%2BG20%2BEA19%2BEA20%2BEU27_2020%2BOECD%2BOECDE%2BWXOECD%2BARG%2BBRA%2BCHN%2BHRV%2BIND%2BIDN%2BRUS%2BSAU%2BZAF%2BAUS.A.IRLT.PA._Z._Z.&amp;pd=2010%2C2024&amp;to%5bTIME_PERIOD%5d=false" TargetMode="External"/><Relationship Id="rId1" Type="http://schemas.openxmlformats.org/officeDocument/2006/relationships/hyperlink" Target="https://www.oecd.org/en/about/terms-condi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D36F-3F93-4B62-A16F-DADAA0947DF7}">
  <dimension ref="A1:K23"/>
  <sheetViews>
    <sheetView tabSelected="1" zoomScale="85" zoomScaleNormal="85" workbookViewId="0">
      <selection activeCell="A2" sqref="A2"/>
    </sheetView>
  </sheetViews>
  <sheetFormatPr defaultRowHeight="15"/>
  <cols>
    <col min="1" max="1" width="9.7109375" bestFit="1" customWidth="1"/>
  </cols>
  <sheetData>
    <row r="1" spans="1:11">
      <c r="A1" t="s">
        <v>104</v>
      </c>
      <c r="B1" t="s">
        <v>72</v>
      </c>
      <c r="C1" t="s">
        <v>73</v>
      </c>
      <c r="D1" t="s">
        <v>74</v>
      </c>
      <c r="E1" t="s">
        <v>75</v>
      </c>
      <c r="F1" t="s">
        <v>76</v>
      </c>
      <c r="G1" t="s">
        <v>77</v>
      </c>
      <c r="H1" t="s">
        <v>78</v>
      </c>
      <c r="I1" t="s">
        <v>79</v>
      </c>
      <c r="J1" t="s">
        <v>80</v>
      </c>
      <c r="K1" t="s">
        <v>81</v>
      </c>
    </row>
    <row r="2" spans="1:11">
      <c r="A2" t="s">
        <v>82</v>
      </c>
      <c r="B2" s="761">
        <f>+Table!B8/100</f>
        <v>5.3660416666666703E-2</v>
      </c>
      <c r="C2" s="761">
        <f>+Table!C8/100</f>
        <v>4.8795833333333302E-2</v>
      </c>
      <c r="D2" s="761">
        <f>+Table!D8/100</f>
        <v>3.3791666666666699E-2</v>
      </c>
      <c r="E2" s="761">
        <f>+Table!E8/100</f>
        <v>3.7230416666666703E-2</v>
      </c>
      <c r="F2" s="761">
        <f>+Table!F8/100</f>
        <v>3.6638333333333301E-2</v>
      </c>
      <c r="G2" s="761">
        <f>+Table!G8/100</f>
        <v>2.7204999999999993E-2</v>
      </c>
      <c r="H2" s="761">
        <f>+Table!H8/100</f>
        <v>2.3408333333333302E-2</v>
      </c>
      <c r="I2" s="761">
        <f>+Table!I8/100</f>
        <v>2.6412500000000009E-2</v>
      </c>
      <c r="J2" s="761">
        <f>+Table!J8/100</f>
        <v>2.6816666666666666E-2</v>
      </c>
      <c r="K2" s="761">
        <f>+Table!K8/100</f>
        <v>1.4970833333333331E-2</v>
      </c>
    </row>
    <row r="3" spans="1:11">
      <c r="A3" t="s">
        <v>83</v>
      </c>
      <c r="B3" s="761">
        <f>Table!B46/100</f>
        <v>0.06</v>
      </c>
      <c r="C3" s="761">
        <f>Table!C46/100</f>
        <v>0.06</v>
      </c>
      <c r="D3" s="761">
        <f>Table!D46/100</f>
        <v>5.7500000000000002E-2</v>
      </c>
      <c r="E3" s="761">
        <f>Table!E46/100</f>
        <v>0.05</v>
      </c>
      <c r="F3" s="761">
        <f>Table!F46/100</f>
        <v>0.05</v>
      </c>
      <c r="G3" s="761">
        <f>Table!G46/100</f>
        <v>6.25E-2</v>
      </c>
      <c r="H3" s="761">
        <f>Table!H46/100</f>
        <v>7.4999999999999997E-2</v>
      </c>
      <c r="I3" s="761">
        <f>Table!I46/100</f>
        <v>7.1249999999999994E-2</v>
      </c>
      <c r="J3" s="761">
        <f>Table!J46/100</f>
        <v>6.7225000000000007E-2</v>
      </c>
      <c r="K3" s="761">
        <f>Table!K46/100</f>
        <v>6.2024999999999997E-2</v>
      </c>
    </row>
    <row r="4" spans="1:11">
      <c r="A4" t="s">
        <v>84</v>
      </c>
      <c r="B4" s="761">
        <f>Table!B11/100</f>
        <v>3.2351399665996344E-2</v>
      </c>
      <c r="C4" s="761">
        <f>Table!C11/100</f>
        <v>2.7830361208521955E-2</v>
      </c>
      <c r="D4" s="761">
        <f>Table!D11/100</f>
        <v>1.8734101256930216E-2</v>
      </c>
      <c r="E4" s="761">
        <f>Table!E11/100</f>
        <v>2.2619587605377082E-2</v>
      </c>
      <c r="F4" s="761">
        <f>Table!F11/100</f>
        <v>2.2308302574618358E-2</v>
      </c>
      <c r="G4" s="761">
        <f>Table!G11/100</f>
        <v>1.5216945963393333E-2</v>
      </c>
      <c r="H4" s="761">
        <f>Table!H11/100</f>
        <v>1.2517575757575766E-2</v>
      </c>
      <c r="I4" s="761">
        <f>Table!I11/100</f>
        <v>1.7836520298605531E-2</v>
      </c>
      <c r="J4" s="761">
        <f>Table!J11/100</f>
        <v>2.2779121098200066E-2</v>
      </c>
      <c r="K4" s="761">
        <f>Table!K11/100</f>
        <v>1.5887419210906042E-2</v>
      </c>
    </row>
    <row r="5" spans="1:11">
      <c r="A5" t="s">
        <v>85</v>
      </c>
      <c r="B5" s="762">
        <f t="shared" ref="B5:D5" si="0">C5</f>
        <v>4.1041166666666698E-2</v>
      </c>
      <c r="C5" s="762">
        <f t="shared" si="0"/>
        <v>4.1041166666666698E-2</v>
      </c>
      <c r="D5" s="762">
        <f t="shared" si="0"/>
        <v>4.1041166666666698E-2</v>
      </c>
      <c r="E5" s="762">
        <f>F5</f>
        <v>4.1041166666666698E-2</v>
      </c>
      <c r="F5" s="761">
        <f>Table!F47/100</f>
        <v>4.1041166666666698E-2</v>
      </c>
      <c r="G5" s="761">
        <f>Table!G47/100</f>
        <v>3.3338833333333297E-2</v>
      </c>
      <c r="H5" s="761">
        <f>Table!H47/100</f>
        <v>2.8500666666666698E-2</v>
      </c>
      <c r="I5" s="761">
        <f>Table!I47/100</f>
        <v>3.5916666666666701E-2</v>
      </c>
      <c r="J5" s="761">
        <f>Table!J47/100</f>
        <v>3.5791666666666701E-2</v>
      </c>
      <c r="K5" s="761">
        <f>Table!K47/100</f>
        <v>3.1813000000000001E-2</v>
      </c>
    </row>
    <row r="6" spans="1:11">
      <c r="A6" t="s">
        <v>86</v>
      </c>
      <c r="B6" s="761">
        <f>Table!B20/100</f>
        <v>2.7442673787565094E-2</v>
      </c>
      <c r="C6" s="761">
        <f>Table!C20/100</f>
        <v>2.6091849914641672E-2</v>
      </c>
      <c r="D6" s="761">
        <f>Table!D20/100</f>
        <v>1.4951302109950139E-2</v>
      </c>
      <c r="E6" s="761">
        <f>Table!E20/100</f>
        <v>1.5714080060438763E-2</v>
      </c>
      <c r="F6" s="761">
        <f>Table!F20/100</f>
        <v>1.1634722907400257E-2</v>
      </c>
      <c r="G6" s="761">
        <f>Table!G20/100</f>
        <v>4.951936754765701E-3</v>
      </c>
      <c r="H6" s="761">
        <f>Table!H20/100</f>
        <v>9.149919223288784E-4</v>
      </c>
      <c r="I6" s="761">
        <f>Table!I20/100</f>
        <v>3.1633611380779566E-3</v>
      </c>
      <c r="J6" s="761">
        <f>Table!J20/100</f>
        <v>3.9636398189051647E-3</v>
      </c>
      <c r="K6" s="761">
        <f>Table!K20/100</f>
        <v>-2.5363445779578503E-3</v>
      </c>
    </row>
    <row r="7" spans="1:11">
      <c r="A7" t="s">
        <v>87</v>
      </c>
      <c r="B7" s="761">
        <f>Table!B39/100</f>
        <v>4.2500008987802179E-2</v>
      </c>
      <c r="C7" s="761">
        <f>Table!C39/100</f>
        <v>5.43689422551768E-2</v>
      </c>
      <c r="D7" s="761">
        <f>Table!D39/100</f>
        <v>5.8465372174122156E-2</v>
      </c>
      <c r="E7" s="761">
        <f>Table!E39/100</f>
        <v>4.5619620388669312E-2</v>
      </c>
      <c r="F7" s="761">
        <f>Table!F39/100</f>
        <v>2.7218310821107441E-2</v>
      </c>
      <c r="G7" s="761">
        <f>Table!G39/100</f>
        <v>1.7350872800826183E-2</v>
      </c>
      <c r="H7" s="761">
        <f>Table!H39/100</f>
        <v>1.393302220183199E-2</v>
      </c>
      <c r="I7" s="761">
        <f>Table!I39/100</f>
        <v>1.5578658308595374E-2</v>
      </c>
      <c r="J7" s="761">
        <f>Table!J39/100</f>
        <v>1.4193522684345906E-2</v>
      </c>
      <c r="K7" s="761">
        <f>Table!K39/100</f>
        <v>6.6101832690256598E-3</v>
      </c>
    </row>
    <row r="8" spans="1:11">
      <c r="A8" t="s">
        <v>88</v>
      </c>
      <c r="B8" s="761">
        <f>Table!B19/100</f>
        <v>3.1183333333333337E-2</v>
      </c>
      <c r="C8" s="761">
        <f>Table!C19/100</f>
        <v>3.3199999999999986E-2</v>
      </c>
      <c r="D8" s="761">
        <f>Table!D19/100</f>
        <v>2.5366666666666669E-2</v>
      </c>
      <c r="E8" s="761">
        <f>Table!E19/100</f>
        <v>2.2041666666666671E-2</v>
      </c>
      <c r="F8" s="761">
        <f>Table!F19/100</f>
        <v>1.666666666666667E-2</v>
      </c>
      <c r="G8" s="761">
        <f>Table!G19/100</f>
        <v>8.4250000000000019E-3</v>
      </c>
      <c r="H8" s="761">
        <f>Table!H19/100</f>
        <v>4.6666666666666662E-3</v>
      </c>
      <c r="I8" s="761">
        <f>Table!I19/100</f>
        <v>8.0916666666666671E-3</v>
      </c>
      <c r="J8" s="761">
        <f>Table!J19/100</f>
        <v>7.8333333333333328E-3</v>
      </c>
      <c r="K8" s="761">
        <f>Table!K19/100</f>
        <v>1.3083333333333337E-3</v>
      </c>
    </row>
    <row r="9" spans="1:11">
      <c r="A9" t="s">
        <v>89</v>
      </c>
      <c r="B9" s="762">
        <f>C9</f>
        <v>8.2599999999999993E-2</v>
      </c>
      <c r="C9" s="762">
        <f>D9</f>
        <v>8.2599999999999993E-2</v>
      </c>
      <c r="D9" s="761">
        <f>Table!D49/100</f>
        <v>8.2599999999999993E-2</v>
      </c>
      <c r="E9" s="761">
        <f>Table!E49/100</f>
        <v>8.1091666666666645E-2</v>
      </c>
      <c r="F9" s="761">
        <f>Table!F49/100</f>
        <v>8.5866666666666661E-2</v>
      </c>
      <c r="G9" s="761">
        <f>Table!G49/100</f>
        <v>7.7766666666666678E-2</v>
      </c>
      <c r="H9" s="761">
        <f>Table!H49/100</f>
        <v>7.2050000000000003E-2</v>
      </c>
      <c r="I9" s="761">
        <f>Table!I49/100</f>
        <v>6.9224999999999995E-2</v>
      </c>
      <c r="J9" s="761">
        <f>Table!J49/100</f>
        <v>7.7041666666666661E-2</v>
      </c>
      <c r="K9" s="761">
        <f>Table!K49/100</f>
        <v>6.9966666666666663E-2</v>
      </c>
    </row>
    <row r="10" spans="1:11">
      <c r="A10" t="s">
        <v>90</v>
      </c>
      <c r="B10" s="762">
        <f>C10</f>
        <v>5.7958333333333299E-2</v>
      </c>
      <c r="C10" s="762">
        <f>D10</f>
        <v>5.7958333333333299E-2</v>
      </c>
      <c r="D10" s="761">
        <f>Table!D50/100</f>
        <v>5.7958333333333299E-2</v>
      </c>
      <c r="E10" s="761">
        <f>Table!E50/100</f>
        <v>6.9874999999999993E-2</v>
      </c>
      <c r="F10" s="761">
        <f>Table!F50/100</f>
        <v>8.131666666666669E-2</v>
      </c>
      <c r="G10" s="761">
        <f>Table!G50/100</f>
        <v>8.2216666666666605E-2</v>
      </c>
      <c r="H10" s="761">
        <f>Table!H50/100</f>
        <v>7.6383333333333303E-2</v>
      </c>
      <c r="I10" s="761">
        <f>Table!I50/100</f>
        <v>6.8783333333333307E-2</v>
      </c>
      <c r="J10" s="761">
        <f>Table!J50/100</f>
        <v>7.4575000000000002E-2</v>
      </c>
      <c r="K10" s="761">
        <f>Table!K50/100</f>
        <v>7.4652999999999997E-2</v>
      </c>
    </row>
    <row r="11" spans="1:11">
      <c r="A11" t="s">
        <v>91</v>
      </c>
      <c r="B11" s="761">
        <f>Table!B26/100</f>
        <v>4.0358333333333329E-2</v>
      </c>
      <c r="C11" s="761">
        <f>Table!C26/100</f>
        <v>5.4228333333333344E-2</v>
      </c>
      <c r="D11" s="761">
        <f>Table!D26/100</f>
        <v>5.4927500000000011E-2</v>
      </c>
      <c r="E11" s="761">
        <f>Table!E26/100</f>
        <v>4.3164166666666649E-2</v>
      </c>
      <c r="F11" s="761">
        <f>Table!F26/100</f>
        <v>2.8931666666666661E-2</v>
      </c>
      <c r="G11" s="761">
        <f>Table!G26/100</f>
        <v>1.7139166666666667E-2</v>
      </c>
      <c r="H11" s="761">
        <f>Table!H26/100</f>
        <v>1.4863333333333333E-2</v>
      </c>
      <c r="I11" s="761">
        <f>Table!I26/100</f>
        <v>2.1129999999999999E-2</v>
      </c>
      <c r="J11" s="761">
        <f>Table!J26/100</f>
        <v>2.6103333333333336E-2</v>
      </c>
      <c r="K11" s="761">
        <f>Table!K26/100</f>
        <v>1.9515000000000001E-2</v>
      </c>
    </row>
    <row r="12" spans="1:11">
      <c r="A12" t="s">
        <v>92</v>
      </c>
      <c r="B12" s="761">
        <f>Table!B27/100</f>
        <v>1.14833333333333E-2</v>
      </c>
      <c r="C12" s="761">
        <f>Table!C27/100</f>
        <v>1.1024166666666699E-2</v>
      </c>
      <c r="D12" s="761">
        <f>Table!D27/100</f>
        <v>8.3558333333333297E-3</v>
      </c>
      <c r="E12" s="761">
        <f>Table!E27/100</f>
        <v>6.8966666666666699E-3</v>
      </c>
      <c r="F12" s="761">
        <f>Table!F27/100</f>
        <v>5.2033333333333298E-3</v>
      </c>
      <c r="G12" s="761">
        <f>Table!G27/100</f>
        <v>3.4999999999999996E-3</v>
      </c>
      <c r="H12" s="761">
        <f>Table!H27/100</f>
        <v>-6.625E-4</v>
      </c>
      <c r="I12" s="761">
        <f>Table!I27/100</f>
        <v>5.1666666666666701E-4</v>
      </c>
      <c r="J12" s="761">
        <f>Table!J27/100</f>
        <v>6.4999999999999997E-4</v>
      </c>
      <c r="K12" s="761">
        <f>Table!K27/100</f>
        <v>-1.10416666666667E-3</v>
      </c>
    </row>
    <row r="13" spans="1:11">
      <c r="A13" t="s">
        <v>93</v>
      </c>
      <c r="B13" s="761">
        <f>Table!B28/100</f>
        <v>4.7733333333333301E-2</v>
      </c>
      <c r="C13" s="761">
        <f>Table!C28/100</f>
        <v>4.2025E-2</v>
      </c>
      <c r="D13" s="761">
        <f>Table!D28/100</f>
        <v>3.4474999999999999E-2</v>
      </c>
      <c r="E13" s="761">
        <f>Table!E28/100</f>
        <v>3.2780833333333301E-2</v>
      </c>
      <c r="F13" s="761">
        <f>Table!F28/100</f>
        <v>3.1863333333333299E-2</v>
      </c>
      <c r="G13" s="761">
        <f>Table!G28/100</f>
        <v>2.3057500000000002E-2</v>
      </c>
      <c r="H13" s="761">
        <f>Table!H28/100</f>
        <v>1.74741666666667E-2</v>
      </c>
      <c r="I13" s="761">
        <f>Table!I28/100</f>
        <v>2.2825833333333302E-2</v>
      </c>
      <c r="J13" s="761">
        <f>Table!J28/100</f>
        <v>2.5027499999999998E-2</v>
      </c>
      <c r="K13" s="761">
        <f>Table!K28/100</f>
        <v>1.7022499999999999E-2</v>
      </c>
    </row>
    <row r="14" spans="1:11">
      <c r="A14" t="s">
        <v>94</v>
      </c>
      <c r="B14" s="762">
        <f>B3</f>
        <v>0.06</v>
      </c>
      <c r="C14" s="762">
        <f t="shared" ref="C14:K14" si="1">C3</f>
        <v>0.06</v>
      </c>
      <c r="D14" s="762">
        <f t="shared" si="1"/>
        <v>5.7500000000000002E-2</v>
      </c>
      <c r="E14" s="762">
        <f t="shared" si="1"/>
        <v>0.05</v>
      </c>
      <c r="F14" s="762">
        <f t="shared" si="1"/>
        <v>0.05</v>
      </c>
      <c r="G14" s="762">
        <f t="shared" si="1"/>
        <v>6.25E-2</v>
      </c>
      <c r="H14" s="762">
        <f t="shared" si="1"/>
        <v>7.4999999999999997E-2</v>
      </c>
      <c r="I14" s="762">
        <f t="shared" si="1"/>
        <v>7.1249999999999994E-2</v>
      </c>
      <c r="J14" s="762">
        <f t="shared" si="1"/>
        <v>6.7225000000000007E-2</v>
      </c>
      <c r="K14" s="762">
        <f t="shared" si="1"/>
        <v>6.2024999999999997E-2</v>
      </c>
    </row>
    <row r="15" spans="1:11">
      <c r="A15" t="s">
        <v>95</v>
      </c>
      <c r="B15" s="761">
        <f>Table!B44/100</f>
        <v>3.7814044859142866E-2</v>
      </c>
      <c r="C15" s="761">
        <f>Table!C44/100</f>
        <v>4.3079524247808643E-2</v>
      </c>
      <c r="D15" s="761">
        <f>Table!D44/100</f>
        <v>3.0476508901441018E-2</v>
      </c>
      <c r="E15" s="761">
        <f>Table!E44/100</f>
        <v>3.0117758761688797E-2</v>
      </c>
      <c r="F15" s="761">
        <f>Table!F44/100</f>
        <v>2.2813497115547223E-2</v>
      </c>
      <c r="G15" s="761">
        <f>Table!G44/100</f>
        <v>1.2674750644034243E-2</v>
      </c>
      <c r="H15" s="761">
        <f>Table!H44/100</f>
        <v>9.2856539253194995E-3</v>
      </c>
      <c r="I15" s="761">
        <f>Table!I44/100</f>
        <v>1.1707339183570468E-2</v>
      </c>
      <c r="J15" s="761">
        <f>Table!J44/100</f>
        <v>1.2640528626611832E-2</v>
      </c>
      <c r="K15" s="761">
        <f>Table!K44/100</f>
        <v>5.8461464230977235E-3</v>
      </c>
    </row>
    <row r="16" spans="1:11">
      <c r="A16" t="s">
        <v>96</v>
      </c>
      <c r="B16" s="761">
        <f>Table!B51/100</f>
        <v>7.8316666666666701E-2</v>
      </c>
      <c r="C16" s="761">
        <f>Table!C51/100</f>
        <v>8.0608333333333296E-2</v>
      </c>
      <c r="D16" s="761">
        <f>Table!D51/100</f>
        <v>8.1541666666666596E-2</v>
      </c>
      <c r="E16" s="761">
        <f>Table!E51/100</f>
        <v>7.3308333333333392E-2</v>
      </c>
      <c r="F16" s="761">
        <f>Table!F51/100</f>
        <v>8.4641666666666601E-2</v>
      </c>
      <c r="G16" s="761">
        <f>Table!G51/100</f>
        <v>0.108866666666667</v>
      </c>
      <c r="H16" s="761">
        <f>Table!H51/100</f>
        <v>0.10438333333333301</v>
      </c>
      <c r="I16" s="761">
        <f>Table!I51/100</f>
        <v>8.9924999999999991E-2</v>
      </c>
      <c r="J16" s="762">
        <f>I16</f>
        <v>8.9924999999999991E-2</v>
      </c>
      <c r="K16" s="762">
        <f>J16</f>
        <v>8.9924999999999991E-2</v>
      </c>
    </row>
    <row r="17" spans="1:11">
      <c r="A17" t="s">
        <v>97</v>
      </c>
      <c r="B17" s="761">
        <f>Table!B42/100</f>
        <v>3.6244249999999999E-2</v>
      </c>
      <c r="C17" s="761">
        <f>Table!C42/100</f>
        <v>3.1359916666666703E-2</v>
      </c>
      <c r="D17" s="761">
        <f>Table!D42/100</f>
        <v>1.91804166666667E-2</v>
      </c>
      <c r="E17" s="761">
        <f>Table!E42/100</f>
        <v>2.3897833333333299E-2</v>
      </c>
      <c r="F17" s="761">
        <f>Table!F42/100</f>
        <v>2.5690833333333298E-2</v>
      </c>
      <c r="G17" s="761">
        <f>Table!G42/100</f>
        <v>1.9010333333333299E-2</v>
      </c>
      <c r="H17" s="761">
        <f>Table!H42/100</f>
        <v>1.3052083333333299E-2</v>
      </c>
      <c r="I17" s="761">
        <f>Table!I42/100</f>
        <v>1.2358083333333301E-2</v>
      </c>
      <c r="J17" s="761">
        <f>Table!J42/100</f>
        <v>1.4606583333333301E-2</v>
      </c>
      <c r="K17" s="761">
        <f>Table!K42/100</f>
        <v>9.3582500000000002E-3</v>
      </c>
    </row>
    <row r="18" spans="1:11">
      <c r="A18" t="s">
        <v>98</v>
      </c>
      <c r="B18" s="761">
        <f>Table!B43/100</f>
        <v>3.21416666666667E-2</v>
      </c>
      <c r="C18" s="761">
        <f>Table!C43/100</f>
        <v>2.7858333333333301E-2</v>
      </c>
      <c r="D18" s="761">
        <f>Table!D43/100</f>
        <v>1.8024999999999999E-2</v>
      </c>
      <c r="E18" s="761">
        <f>Table!E43/100</f>
        <v>2.3508333333333301E-2</v>
      </c>
      <c r="F18" s="761">
        <f>Table!F43/100</f>
        <v>2.54083333333333E-2</v>
      </c>
      <c r="G18" s="761">
        <f>Table!G43/100</f>
        <v>2.1358333333333302E-2</v>
      </c>
      <c r="H18" s="761">
        <f>Table!H43/100</f>
        <v>1.8416666666666699E-2</v>
      </c>
      <c r="I18" s="761">
        <f>Table!I43/100</f>
        <v>2.3300000000000001E-2</v>
      </c>
      <c r="J18" s="761">
        <f>Table!J43/100</f>
        <v>2.9100000000000001E-2</v>
      </c>
      <c r="K18" s="761">
        <f>Table!K43/100</f>
        <v>2.1441666666666703E-2</v>
      </c>
    </row>
    <row r="19" spans="1:11">
      <c r="A19" t="s">
        <v>99</v>
      </c>
      <c r="B19" s="763">
        <f>Table!B8/100</f>
        <v>5.3660416666666703E-2</v>
      </c>
      <c r="C19" s="763">
        <f>Table!C8/100</f>
        <v>4.8795833333333302E-2</v>
      </c>
      <c r="D19" s="763">
        <f>Table!D8/100</f>
        <v>3.3791666666666699E-2</v>
      </c>
      <c r="E19" s="763">
        <f>Table!E8/100</f>
        <v>3.7230416666666703E-2</v>
      </c>
      <c r="F19" s="763">
        <f>Table!F8/100</f>
        <v>3.6638333333333301E-2</v>
      </c>
      <c r="G19" s="763">
        <f>Table!G8/100</f>
        <v>2.7204999999999993E-2</v>
      </c>
      <c r="H19" s="763">
        <f>Table!H8/100</f>
        <v>2.3408333333333302E-2</v>
      </c>
      <c r="I19" s="763">
        <f>Table!I8/100</f>
        <v>2.6412500000000009E-2</v>
      </c>
      <c r="J19" s="763">
        <f>Table!J8/100</f>
        <v>2.6816666666666666E-2</v>
      </c>
      <c r="K19" s="763">
        <f>Table!K8/100</f>
        <v>1.4970833333333331E-2</v>
      </c>
    </row>
    <row r="20" spans="1:11">
      <c r="A20" t="s">
        <v>100</v>
      </c>
      <c r="B20" s="763">
        <f>Table!B34/100</f>
        <v>3.5283333333333305E-2</v>
      </c>
      <c r="C20" s="763">
        <f>Table!C34/100</f>
        <v>3.1349999999999996E-2</v>
      </c>
      <c r="D20" s="763">
        <f>Table!D34/100</f>
        <v>2.1016666666666701E-2</v>
      </c>
      <c r="E20" s="763">
        <f>Table!E34/100</f>
        <v>2.5775000000000003E-2</v>
      </c>
      <c r="F20" s="763">
        <f>Table!F34/100</f>
        <v>2.5150000000000002E-2</v>
      </c>
      <c r="G20" s="763">
        <f>Table!G34/100</f>
        <v>1.5650000000000001E-2</v>
      </c>
      <c r="H20" s="763">
        <f>Table!H34/100</f>
        <v>1.3316666666666701E-2</v>
      </c>
      <c r="I20" s="763">
        <f>Table!I34/100</f>
        <v>1.6375000000000001E-2</v>
      </c>
      <c r="J20" s="763">
        <f>Table!J34/100</f>
        <v>1.87916666666667E-2</v>
      </c>
      <c r="K20" s="763">
        <f>Table!K34/100</f>
        <v>1.49416666666667E-2</v>
      </c>
    </row>
    <row r="21" spans="1:11">
      <c r="A21" t="s">
        <v>101</v>
      </c>
      <c r="B21" s="763">
        <f>Table!B52/100</f>
        <v>8.6154162584491531E-2</v>
      </c>
      <c r="C21" s="763">
        <f>Table!C52/100</f>
        <v>8.514085009873168E-2</v>
      </c>
      <c r="D21" s="763">
        <f>Table!D52/100</f>
        <v>7.9027988402605095E-2</v>
      </c>
      <c r="E21" s="763">
        <f>Table!E52/100</f>
        <v>7.7195941253000763E-2</v>
      </c>
      <c r="F21" s="763">
        <f>Table!F52/100</f>
        <v>8.2438533966668975E-2</v>
      </c>
      <c r="G21" s="763">
        <f>Table!G52/100</f>
        <v>8.1591513880220956E-2</v>
      </c>
      <c r="H21" s="763">
        <f>Table!H52/100</f>
        <v>9.0168405958077014E-2</v>
      </c>
      <c r="I21" s="763">
        <f>Table!I52/100</f>
        <v>9.0540016903890755E-2</v>
      </c>
      <c r="J21" s="763">
        <f>Table!J52/100</f>
        <v>9.1275764287200203E-2</v>
      </c>
      <c r="K21" s="763">
        <f>Table!K52/100</f>
        <v>9.0725747965103812E-2</v>
      </c>
    </row>
    <row r="22" spans="1:11">
      <c r="A22" t="s">
        <v>102</v>
      </c>
      <c r="B22" s="763">
        <f>Table!B46/100</f>
        <v>0.06</v>
      </c>
      <c r="C22" s="763">
        <f>Table!C46/100</f>
        <v>0.06</v>
      </c>
      <c r="D22" s="763">
        <f>Table!D46/100</f>
        <v>5.7500000000000002E-2</v>
      </c>
      <c r="E22" s="763">
        <f>Table!E46/100</f>
        <v>0.05</v>
      </c>
      <c r="F22" s="763">
        <f>Table!F46/100</f>
        <v>0.05</v>
      </c>
      <c r="G22" s="763">
        <f>Table!G46/100</f>
        <v>6.25E-2</v>
      </c>
      <c r="H22" s="763">
        <f>Table!H46/100</f>
        <v>7.4999999999999997E-2</v>
      </c>
      <c r="I22" s="763">
        <f>Table!I46/100</f>
        <v>7.1249999999999994E-2</v>
      </c>
      <c r="J22" s="763">
        <f>Table!J46/100</f>
        <v>6.7225000000000007E-2</v>
      </c>
      <c r="K22" s="763">
        <f>Table!K46/100</f>
        <v>6.2024999999999997E-2</v>
      </c>
    </row>
    <row r="23" spans="1:11">
      <c r="A23" t="s">
        <v>103</v>
      </c>
      <c r="B23" s="763">
        <f>Table!B25/100</f>
        <v>4.6841666666666698E-2</v>
      </c>
      <c r="C23" s="763">
        <f>Table!C25/100</f>
        <v>4.9800000000000004E-2</v>
      </c>
      <c r="D23" s="763">
        <f>Table!D25/100</f>
        <v>4.3991666666666693E-2</v>
      </c>
      <c r="E23" s="763">
        <f>Table!E25/100</f>
        <v>3.7958333333333295E-2</v>
      </c>
      <c r="F23" s="763">
        <f>Table!F25/100</f>
        <v>2.8858333333333302E-2</v>
      </c>
      <c r="G23" s="763">
        <f>Table!G25/100</f>
        <v>2.07E-2</v>
      </c>
      <c r="H23" s="763">
        <f>Table!H25/100</f>
        <v>1.87916666666667E-2</v>
      </c>
      <c r="I23" s="763">
        <f>Table!I25/100</f>
        <v>1.9091666666666701E-2</v>
      </c>
      <c r="J23" s="763">
        <f>Table!J25/100</f>
        <v>1.9941666666666701E-2</v>
      </c>
      <c r="K23" s="763">
        <f>Table!K25/100</f>
        <v>1.46833333333333E-2</v>
      </c>
    </row>
  </sheetData>
  <phoneticPr fontId="76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8"/>
  <sheetViews>
    <sheetView workbookViewId="0"/>
  </sheetViews>
  <sheetFormatPr defaultRowHeight="15"/>
  <cols>
    <col min="2" max="2" width="115" style="759" customWidth="1"/>
  </cols>
  <sheetData>
    <row r="1" spans="2:2">
      <c r="B1" s="760" t="s">
        <v>0</v>
      </c>
    </row>
    <row r="2" spans="2:2" ht="55.5" customHeight="1">
      <c r="B2" s="759" t="s">
        <v>68</v>
      </c>
    </row>
    <row r="5" spans="2:2" ht="39.75" customHeight="1">
      <c r="B5" s="759" t="s">
        <v>69</v>
      </c>
    </row>
    <row r="7" spans="2:2">
      <c r="B7" s="759" t="s">
        <v>70</v>
      </c>
    </row>
    <row r="8" spans="2:2">
      <c r="B8" s="759"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topLeftCell="A10" zoomScaleNormal="100" workbookViewId="0">
      <selection sqref="A1:A1048576"/>
    </sheetView>
  </sheetViews>
  <sheetFormatPr defaultRowHeight="15"/>
  <cols>
    <col min="1" max="1" width="35" customWidth="1"/>
    <col min="2" max="2" width="6.42578125" bestFit="1" customWidth="1"/>
    <col min="3" max="3" width="5.85546875" bestFit="1" customWidth="1"/>
    <col min="4" max="6" width="6.42578125" bestFit="1" customWidth="1"/>
    <col min="7" max="7" width="6.140625" bestFit="1" customWidth="1"/>
    <col min="8" max="8" width="6.42578125" bestFit="1" customWidth="1"/>
    <col min="9" max="9" width="6.140625" bestFit="1" customWidth="1"/>
    <col min="10" max="11" width="6.42578125" bestFit="1" customWidth="1"/>
    <col min="12" max="12" width="6.85546875" bestFit="1" customWidth="1"/>
    <col min="13" max="13" width="6.42578125" bestFit="1" customWidth="1"/>
    <col min="14" max="16" width="6.85546875" bestFit="1" customWidth="1"/>
  </cols>
  <sheetData>
    <row r="1" spans="1:16">
      <c r="A1" s="1" t="s">
        <v>0</v>
      </c>
    </row>
    <row r="2" spans="1:16">
      <c r="A2" s="2" t="s">
        <v>1</v>
      </c>
    </row>
    <row r="3" spans="1:16">
      <c r="A3" s="3" t="s">
        <v>2</v>
      </c>
    </row>
    <row r="4" spans="1:16">
      <c r="A4" s="4" t="s">
        <v>3</v>
      </c>
    </row>
    <row r="6" spans="1:16" ht="30" customHeight="1">
      <c r="A6" s="5" t="s">
        <v>4</v>
      </c>
      <c r="B6" s="6" t="s">
        <v>5</v>
      </c>
      <c r="C6" s="7" t="s">
        <v>6</v>
      </c>
      <c r="D6" s="8" t="s">
        <v>7</v>
      </c>
      <c r="E6" s="9" t="s">
        <v>8</v>
      </c>
      <c r="F6" s="10" t="s">
        <v>9</v>
      </c>
      <c r="G6" s="11" t="s">
        <v>10</v>
      </c>
      <c r="H6" s="12" t="s">
        <v>11</v>
      </c>
      <c r="I6" s="13" t="s">
        <v>12</v>
      </c>
      <c r="J6" s="14" t="s">
        <v>13</v>
      </c>
      <c r="K6" s="15" t="s">
        <v>14</v>
      </c>
      <c r="L6" s="16" t="s">
        <v>15</v>
      </c>
      <c r="M6" s="17" t="s">
        <v>16</v>
      </c>
      <c r="N6" s="18" t="s">
        <v>17</v>
      </c>
      <c r="O6" s="19" t="s">
        <v>18</v>
      </c>
      <c r="P6" s="20" t="s">
        <v>19</v>
      </c>
    </row>
    <row r="7" spans="1:16">
      <c r="A7" s="21" t="s">
        <v>20</v>
      </c>
      <c r="B7" s="22" t="s">
        <v>21</v>
      </c>
      <c r="C7" s="23" t="s">
        <v>21</v>
      </c>
      <c r="D7" s="24" t="s">
        <v>21</v>
      </c>
      <c r="E7" s="25" t="s">
        <v>21</v>
      </c>
      <c r="F7" s="26" t="s">
        <v>21</v>
      </c>
      <c r="G7" s="27" t="s">
        <v>21</v>
      </c>
      <c r="H7" s="28" t="s">
        <v>21</v>
      </c>
      <c r="I7" s="29" t="s">
        <v>21</v>
      </c>
      <c r="J7" s="30" t="s">
        <v>21</v>
      </c>
      <c r="K7" s="31" t="s">
        <v>21</v>
      </c>
      <c r="L7" s="32" t="s">
        <v>21</v>
      </c>
      <c r="M7" s="33" t="s">
        <v>21</v>
      </c>
      <c r="N7" s="34" t="s">
        <v>21</v>
      </c>
      <c r="O7" s="35" t="s">
        <v>21</v>
      </c>
      <c r="P7" s="36" t="s">
        <v>21</v>
      </c>
    </row>
    <row r="8" spans="1:16">
      <c r="A8" s="37" t="s">
        <v>22</v>
      </c>
      <c r="B8" s="38">
        <v>5.3660416666666704</v>
      </c>
      <c r="C8" s="39">
        <v>4.8795833333333301</v>
      </c>
      <c r="D8" s="40">
        <v>3.37916666666667</v>
      </c>
      <c r="E8" s="41">
        <v>3.7230416666666701</v>
      </c>
      <c r="F8" s="42">
        <v>3.6638333333333302</v>
      </c>
      <c r="G8" s="43">
        <v>2.7204999999999995</v>
      </c>
      <c r="H8" s="44">
        <v>2.3408333333333302</v>
      </c>
      <c r="I8" s="45">
        <v>2.6412500000000008</v>
      </c>
      <c r="J8" s="46">
        <v>2.6816666666666666</v>
      </c>
      <c r="K8" s="47">
        <v>1.4970833333333331</v>
      </c>
      <c r="L8" s="48">
        <v>0.92016666666666647</v>
      </c>
      <c r="M8" s="49">
        <v>1.4797499999999999</v>
      </c>
      <c r="N8" s="50">
        <v>3.1965000000000003</v>
      </c>
      <c r="O8" s="51">
        <v>3.942083333333334</v>
      </c>
      <c r="P8" s="52">
        <v>4.2097500000000005</v>
      </c>
    </row>
    <row r="9" spans="1:16">
      <c r="A9" s="53" t="s">
        <v>23</v>
      </c>
      <c r="B9" s="54">
        <v>3.2263833333333301</v>
      </c>
      <c r="C9" s="55">
        <v>3.3196583333333298</v>
      </c>
      <c r="D9" s="56">
        <v>2.371175</v>
      </c>
      <c r="E9" s="57">
        <v>2.0107583333333299</v>
      </c>
      <c r="F9" s="58">
        <v>1.48729166666667</v>
      </c>
      <c r="G9" s="59">
        <v>0.74704166666666705</v>
      </c>
      <c r="H9" s="60">
        <v>0.37538333333333301</v>
      </c>
      <c r="I9" s="61">
        <v>0.58328333333333304</v>
      </c>
      <c r="J9" s="62">
        <v>0.68615833333333298</v>
      </c>
      <c r="K9" s="63">
        <v>6.2933333333333397E-2</v>
      </c>
      <c r="L9" s="64">
        <v>-0.22484999999999999</v>
      </c>
      <c r="M9" s="65">
        <v>-8.5383333333333394E-2</v>
      </c>
      <c r="N9" s="66">
        <v>1.7111499999999999</v>
      </c>
      <c r="O9" s="67">
        <v>3.0826750000000005</v>
      </c>
      <c r="P9" s="68">
        <v>2.8427083333333329</v>
      </c>
    </row>
    <row r="10" spans="1:16">
      <c r="A10" s="69" t="s">
        <v>24</v>
      </c>
      <c r="B10" s="70">
        <v>3.4624999999999999</v>
      </c>
      <c r="C10" s="71">
        <v>4.2333333333333298</v>
      </c>
      <c r="D10" s="72">
        <v>3</v>
      </c>
      <c r="E10" s="73">
        <v>2.41</v>
      </c>
      <c r="F10" s="74">
        <v>1.71333333333333</v>
      </c>
      <c r="G10" s="75">
        <v>0.84</v>
      </c>
      <c r="H10" s="76">
        <v>0.475833333333333</v>
      </c>
      <c r="I10" s="77">
        <v>0.72250000000000003</v>
      </c>
      <c r="J10" s="78">
        <v>0.79500000000000004</v>
      </c>
      <c r="K10" s="79">
        <v>0.193333333333333</v>
      </c>
      <c r="L10" s="80">
        <v>-0.14833333333333301</v>
      </c>
      <c r="M10" s="81">
        <v>-1.4166666666666701E-2</v>
      </c>
      <c r="N10" s="82">
        <v>1.7333333333333301</v>
      </c>
      <c r="O10" s="83">
        <v>3.0891666666666699</v>
      </c>
      <c r="P10" s="84">
        <v>2.9249999999999994</v>
      </c>
    </row>
    <row r="11" spans="1:16">
      <c r="A11" s="85" t="s">
        <v>25</v>
      </c>
      <c r="B11" s="86">
        <v>3.2351399665996348</v>
      </c>
      <c r="C11" s="87">
        <v>2.7830361208521954</v>
      </c>
      <c r="D11" s="88">
        <v>1.8734101256930218</v>
      </c>
      <c r="E11" s="89">
        <v>2.2619587605377083</v>
      </c>
      <c r="F11" s="90">
        <v>2.2308302574618359</v>
      </c>
      <c r="G11" s="91">
        <v>1.5216945963393333</v>
      </c>
      <c r="H11" s="92">
        <v>1.2517575757575765</v>
      </c>
      <c r="I11" s="93">
        <v>1.7836520298605532</v>
      </c>
      <c r="J11" s="94">
        <v>2.2779121098200066</v>
      </c>
      <c r="K11" s="95">
        <v>1.5887419210906044</v>
      </c>
      <c r="L11" s="96">
        <v>0.7531086618060302</v>
      </c>
      <c r="M11" s="97">
        <v>1.358811126548255</v>
      </c>
      <c r="N11" s="98">
        <v>2.7685795797134483</v>
      </c>
      <c r="O11" s="99">
        <v>3.3606393082508661</v>
      </c>
      <c r="P11" s="100">
        <v>3.3398444121667814</v>
      </c>
    </row>
    <row r="12" spans="1:16">
      <c r="A12" s="101" t="s">
        <v>26</v>
      </c>
      <c r="B12" s="102">
        <v>6.2528741148513767</v>
      </c>
      <c r="C12" s="103">
        <v>5.9696446159180434</v>
      </c>
      <c r="D12" s="104">
        <v>5.4255705415629345</v>
      </c>
      <c r="E12" s="105">
        <v>5.3087371461882169</v>
      </c>
      <c r="F12" s="106">
        <v>4.7366152669796708</v>
      </c>
      <c r="G12" s="107">
        <v>4.4802214644636891</v>
      </c>
      <c r="H12" s="108">
        <v>4.4052768244400564</v>
      </c>
      <c r="I12" s="109">
        <v>4.2449583451793407</v>
      </c>
      <c r="J12" s="110">
        <v>4.4978572800238474</v>
      </c>
      <c r="K12" s="111">
        <v>3.5778866233331339</v>
      </c>
      <c r="L12" s="112">
        <v>2.7985631463412317</v>
      </c>
      <c r="M12" s="113">
        <v>4.3615900936680934</v>
      </c>
      <c r="N12" s="114">
        <v>6.2600223488385032</v>
      </c>
      <c r="O12" s="115">
        <v>5.6557994797994366</v>
      </c>
      <c r="P12" s="116">
        <v>5.7889375996810202</v>
      </c>
    </row>
    <row r="13" spans="1:16">
      <c r="A13" s="117" t="s">
        <v>27</v>
      </c>
      <c r="B13" s="118">
        <v>8.4658333333333342</v>
      </c>
      <c r="C13" s="119">
        <v>8.0883333333333329</v>
      </c>
      <c r="D13" s="120">
        <v>6.8133333333333335</v>
      </c>
      <c r="E13" s="121">
        <v>6.4950000000000001</v>
      </c>
      <c r="F13" s="122">
        <v>7.055833333333335</v>
      </c>
      <c r="G13" s="123">
        <v>7.854166666666667</v>
      </c>
      <c r="H13" s="124">
        <v>7.9058333333333337</v>
      </c>
      <c r="I13" s="125">
        <v>6.7716666666666674</v>
      </c>
      <c r="J13" s="126">
        <v>6.9958333333333327</v>
      </c>
      <c r="K13" s="127">
        <v>6.4974999999999996</v>
      </c>
      <c r="L13" s="128">
        <v>6.3333333333333401</v>
      </c>
      <c r="M13" s="129">
        <v>7.6241666666666701</v>
      </c>
      <c r="N13" s="130">
        <v>11.684166666666668</v>
      </c>
      <c r="O13" s="131">
        <v>11.339166666666669</v>
      </c>
      <c r="P13" s="132">
        <v>10.773333333333335</v>
      </c>
    </row>
    <row r="14" spans="1:16">
      <c r="A14" s="133" t="s">
        <v>28</v>
      </c>
      <c r="B14" s="134" t="s">
        <v>21</v>
      </c>
      <c r="C14" s="135" t="s">
        <v>21</v>
      </c>
      <c r="D14" s="136" t="s">
        <v>21</v>
      </c>
      <c r="E14" s="137" t="s">
        <v>21</v>
      </c>
      <c r="F14" s="138">
        <v>9.8366666666666642</v>
      </c>
      <c r="G14" s="139">
        <v>9.629999999999999</v>
      </c>
      <c r="H14" s="140">
        <v>8.3349999999999991</v>
      </c>
      <c r="I14" s="141">
        <v>8.9066666666666645</v>
      </c>
      <c r="J14" s="142">
        <v>9.9625000000000004</v>
      </c>
      <c r="K14" s="143">
        <v>10.616666666666665</v>
      </c>
      <c r="L14" s="144">
        <v>8.836666666666666</v>
      </c>
      <c r="M14" s="145">
        <v>7.9333333333333327</v>
      </c>
      <c r="N14" s="146">
        <v>8.0183333333333326</v>
      </c>
      <c r="O14" s="147">
        <v>8.1066666666666656</v>
      </c>
      <c r="P14" s="148">
        <v>6.5216666666666674</v>
      </c>
    </row>
    <row r="15" spans="1:16">
      <c r="A15" s="149" t="s">
        <v>29</v>
      </c>
      <c r="B15" s="150">
        <v>3.8854240205895247</v>
      </c>
      <c r="C15" s="151">
        <v>3.707122499151676</v>
      </c>
      <c r="D15" s="152">
        <v>2.7818408185815802</v>
      </c>
      <c r="E15" s="153">
        <v>2.1118045057111074</v>
      </c>
      <c r="F15" s="154">
        <v>1.5754711653437881</v>
      </c>
      <c r="G15" s="155">
        <v>0.57394768921469042</v>
      </c>
      <c r="H15" s="156">
        <v>0.42710851687947615</v>
      </c>
      <c r="I15" s="157">
        <v>0.98036248938236381</v>
      </c>
      <c r="J15" s="158">
        <v>1.9811234194843921</v>
      </c>
      <c r="K15" s="159">
        <v>1.5481160086050403</v>
      </c>
      <c r="L15" s="160">
        <v>1.1287859061341934</v>
      </c>
      <c r="M15" s="161">
        <v>1.9034682700043151</v>
      </c>
      <c r="N15" s="162">
        <v>4.3335336591959868</v>
      </c>
      <c r="O15" s="163">
        <v>4.4384320806434898</v>
      </c>
      <c r="P15" s="164">
        <v>3.9799141887827028</v>
      </c>
    </row>
    <row r="16" spans="1:16">
      <c r="A16" s="165" t="s">
        <v>30</v>
      </c>
      <c r="B16" s="166">
        <v>2.92608333333333</v>
      </c>
      <c r="C16" s="167">
        <v>2.72925</v>
      </c>
      <c r="D16" s="168">
        <v>1.4034166666666701</v>
      </c>
      <c r="E16" s="169">
        <v>1.7450000000000001</v>
      </c>
      <c r="F16" s="170">
        <v>1.32483333333333</v>
      </c>
      <c r="G16" s="171">
        <v>0.6905</v>
      </c>
      <c r="H16" s="172">
        <v>0.32033333333333303</v>
      </c>
      <c r="I16" s="173">
        <v>0.47641666666666699</v>
      </c>
      <c r="J16" s="174">
        <v>0.45483333333333298</v>
      </c>
      <c r="K16" s="175">
        <v>-0.18341666666666701</v>
      </c>
      <c r="L16" s="176">
        <v>-0.35925000000000001</v>
      </c>
      <c r="M16" s="177">
        <v>-6.0833333333333302E-2</v>
      </c>
      <c r="N16" s="178">
        <v>1.4777499999999999</v>
      </c>
      <c r="O16" s="179">
        <v>2.6777499999999996</v>
      </c>
      <c r="P16" s="180">
        <v>2.3030833333333334</v>
      </c>
    </row>
    <row r="17" spans="1:16">
      <c r="A17" s="181" t="s">
        <v>31</v>
      </c>
      <c r="B17" s="182" t="s">
        <v>21</v>
      </c>
      <c r="C17" s="183" t="s">
        <v>21</v>
      </c>
      <c r="D17" s="184" t="s">
        <v>21</v>
      </c>
      <c r="E17" s="185" t="s">
        <v>21</v>
      </c>
      <c r="F17" s="186" t="s">
        <v>21</v>
      </c>
      <c r="G17" s="187" t="s">
        <v>21</v>
      </c>
      <c r="H17" s="188" t="s">
        <v>21</v>
      </c>
      <c r="I17" s="189" t="s">
        <v>21</v>
      </c>
      <c r="J17" s="190" t="s">
        <v>21</v>
      </c>
      <c r="K17" s="191" t="s">
        <v>21</v>
      </c>
      <c r="L17" s="192" t="s">
        <v>21</v>
      </c>
      <c r="M17" s="193">
        <v>6.3333333333333297E-2</v>
      </c>
      <c r="N17" s="194">
        <v>2.2858333333333301</v>
      </c>
      <c r="O17" s="195">
        <v>3.9008333333333343</v>
      </c>
      <c r="P17" s="196">
        <v>3.5466666666666669</v>
      </c>
    </row>
    <row r="18" spans="1:16">
      <c r="A18" s="197" t="s">
        <v>32</v>
      </c>
      <c r="B18" s="198">
        <v>3.0108333333333301</v>
      </c>
      <c r="C18" s="199">
        <v>3.0058333333333298</v>
      </c>
      <c r="D18" s="200">
        <v>1.88333333333333</v>
      </c>
      <c r="E18" s="201">
        <v>1.86083333333333</v>
      </c>
      <c r="F18" s="202">
        <v>1.4483333333333299</v>
      </c>
      <c r="G18" s="203">
        <v>0.72333333333333405</v>
      </c>
      <c r="H18" s="204">
        <v>0.36499999999999999</v>
      </c>
      <c r="I18" s="205">
        <v>0.54666666666666697</v>
      </c>
      <c r="J18" s="206">
        <v>0.66166666666666696</v>
      </c>
      <c r="K18" s="207">
        <v>7.0000000000000007E-2</v>
      </c>
      <c r="L18" s="208">
        <v>-0.21916666666666701</v>
      </c>
      <c r="M18" s="209">
        <v>-9.5076036749999995E-2</v>
      </c>
      <c r="N18" s="210">
        <v>1.6553076953333301</v>
      </c>
      <c r="O18" s="211">
        <v>3.0374999999999996</v>
      </c>
      <c r="P18" s="212">
        <v>2.852967731333333</v>
      </c>
    </row>
    <row r="19" spans="1:16">
      <c r="A19" s="213" t="s">
        <v>33</v>
      </c>
      <c r="B19" s="214">
        <v>3.1183333333333336</v>
      </c>
      <c r="C19" s="215">
        <v>3.319999999999999</v>
      </c>
      <c r="D19" s="216">
        <v>2.5366666666666671</v>
      </c>
      <c r="E19" s="217">
        <v>2.2041666666666671</v>
      </c>
      <c r="F19" s="218">
        <v>1.666666666666667</v>
      </c>
      <c r="G19" s="219">
        <v>0.84250000000000014</v>
      </c>
      <c r="H19" s="220">
        <v>0.46666666666666662</v>
      </c>
      <c r="I19" s="221">
        <v>0.8091666666666667</v>
      </c>
      <c r="J19" s="222">
        <v>0.78333333333333333</v>
      </c>
      <c r="K19" s="223">
        <v>0.13083333333333336</v>
      </c>
      <c r="L19" s="224">
        <v>-0.14500000000000002</v>
      </c>
      <c r="M19" s="225">
        <v>6.6666666666666619E-3</v>
      </c>
      <c r="N19" s="226">
        <v>1.7008333333333334</v>
      </c>
      <c r="O19" s="227">
        <v>2.9941666666666666</v>
      </c>
      <c r="P19" s="228">
        <v>2.9691666666666667</v>
      </c>
    </row>
    <row r="20" spans="1:16">
      <c r="A20" s="229" t="s">
        <v>34</v>
      </c>
      <c r="B20" s="230">
        <v>2.7442673787565095</v>
      </c>
      <c r="C20" s="231">
        <v>2.6091849914641672</v>
      </c>
      <c r="D20" s="232">
        <v>1.495130210995014</v>
      </c>
      <c r="E20" s="233">
        <v>1.5714080060438764</v>
      </c>
      <c r="F20" s="234">
        <v>1.1634722907400257</v>
      </c>
      <c r="G20" s="235">
        <v>0.49519367547657006</v>
      </c>
      <c r="H20" s="236">
        <v>9.1499192232887841E-2</v>
      </c>
      <c r="I20" s="237">
        <v>0.31633611380779564</v>
      </c>
      <c r="J20" s="238">
        <v>0.39636398189051647</v>
      </c>
      <c r="K20" s="239">
        <v>-0.25363445779578503</v>
      </c>
      <c r="L20" s="240">
        <v>-0.51102400558378813</v>
      </c>
      <c r="M20" s="241">
        <v>-0.37382116977225682</v>
      </c>
      <c r="N20" s="242">
        <v>1.1425829849657096</v>
      </c>
      <c r="O20" s="243">
        <v>2.4345987059491065</v>
      </c>
      <c r="P20" s="244">
        <v>2.3210841123449817</v>
      </c>
    </row>
    <row r="21" spans="1:16">
      <c r="A21" s="245" t="s">
        <v>35</v>
      </c>
      <c r="B21" s="246">
        <v>9.0916666666666703</v>
      </c>
      <c r="C21" s="247">
        <v>15.749166666666699</v>
      </c>
      <c r="D21" s="248">
        <v>22.497499999999999</v>
      </c>
      <c r="E21" s="249">
        <v>10.054166666666699</v>
      </c>
      <c r="F21" s="250">
        <v>6.9291666666666698</v>
      </c>
      <c r="G21" s="251">
        <v>9.6663636363636378</v>
      </c>
      <c r="H21" s="252">
        <v>8.36</v>
      </c>
      <c r="I21" s="253">
        <v>5.9783333333333299</v>
      </c>
      <c r="J21" s="254">
        <v>4.1849999999999996</v>
      </c>
      <c r="K21" s="255">
        <v>2.5858333333333299</v>
      </c>
      <c r="L21" s="256">
        <v>1.2716666666666701</v>
      </c>
      <c r="M21" s="257">
        <v>0.88416666666666688</v>
      </c>
      <c r="N21" s="258">
        <v>3.4866666666666699</v>
      </c>
      <c r="O21" s="259">
        <v>4.0016666666666669</v>
      </c>
      <c r="P21" s="260">
        <v>3.3499999999999992</v>
      </c>
    </row>
    <row r="22" spans="1:16">
      <c r="A22" s="261" t="s">
        <v>36</v>
      </c>
      <c r="B22" s="262">
        <v>7.2816666666666698</v>
      </c>
      <c r="C22" s="263">
        <v>7.63540873</v>
      </c>
      <c r="D22" s="264">
        <v>7.8908333333333296</v>
      </c>
      <c r="E22" s="265">
        <v>5.9233333333333302</v>
      </c>
      <c r="F22" s="266">
        <v>4.8091666666666697</v>
      </c>
      <c r="G22" s="267">
        <v>3.4325000000000001</v>
      </c>
      <c r="H22" s="268">
        <v>3.14333333333333</v>
      </c>
      <c r="I22" s="269">
        <v>2.9624999999999999</v>
      </c>
      <c r="J22" s="270">
        <v>3.05833333333333</v>
      </c>
      <c r="K22" s="271">
        <v>2.4649999999999999</v>
      </c>
      <c r="L22" s="272">
        <v>2.2250000000000001</v>
      </c>
      <c r="M22" s="273">
        <v>3.06083333333333</v>
      </c>
      <c r="N22" s="274">
        <v>7.5708333333333302</v>
      </c>
      <c r="O22" s="275">
        <v>7.512500000000002</v>
      </c>
      <c r="P22" s="276">
        <v>6.5008333333333326</v>
      </c>
    </row>
    <row r="23" spans="1:16">
      <c r="A23" s="277" t="s">
        <v>37</v>
      </c>
      <c r="B23" s="278">
        <v>3.4933333333333301</v>
      </c>
      <c r="C23" s="279">
        <v>2.9466666666666699</v>
      </c>
      <c r="D23" s="280">
        <v>2.2766666666666699</v>
      </c>
      <c r="E23" s="281">
        <v>2.5516666666666699</v>
      </c>
      <c r="F23" s="282">
        <v>3.2016666666666702</v>
      </c>
      <c r="G23" s="283">
        <v>2.6608333333333301</v>
      </c>
      <c r="H23" s="284">
        <v>2.7758333333333298</v>
      </c>
      <c r="I23" s="285">
        <v>2.2158333333333302</v>
      </c>
      <c r="J23" s="286">
        <v>1.8425</v>
      </c>
      <c r="K23" s="287">
        <v>1.0858333333333301</v>
      </c>
      <c r="L23" s="288">
        <v>0.34083333333333299</v>
      </c>
      <c r="M23" s="289">
        <v>0.77833333333333299</v>
      </c>
      <c r="N23" s="290" t="s">
        <v>21</v>
      </c>
      <c r="O23" s="291" t="s">
        <v>21</v>
      </c>
      <c r="P23" s="292" t="s">
        <v>21</v>
      </c>
    </row>
    <row r="24" spans="1:16">
      <c r="A24" s="293" t="s">
        <v>38</v>
      </c>
      <c r="B24" s="294">
        <v>5.7391666666666667</v>
      </c>
      <c r="C24" s="295">
        <v>9.6016666666666683</v>
      </c>
      <c r="D24" s="296">
        <v>6.1716666666666669</v>
      </c>
      <c r="E24" s="297">
        <v>3.7899999999999996</v>
      </c>
      <c r="F24" s="298">
        <v>2.3675000000000002</v>
      </c>
      <c r="G24" s="299">
        <v>1.1825000000000001</v>
      </c>
      <c r="H24" s="300">
        <v>0.73583333333333334</v>
      </c>
      <c r="I24" s="301">
        <v>0.80166666666666675</v>
      </c>
      <c r="J24" s="302">
        <v>0.9518416666666667</v>
      </c>
      <c r="K24" s="303">
        <v>0.33105833333333329</v>
      </c>
      <c r="L24" s="304">
        <v>-6.1041666666666661E-2</v>
      </c>
      <c r="M24" s="305">
        <v>6.3158333333333302E-2</v>
      </c>
      <c r="N24" s="306">
        <v>1.7456166666666699</v>
      </c>
      <c r="O24" s="307">
        <v>2.8666166666666668</v>
      </c>
      <c r="P24" s="308">
        <v>2.7175833333333332</v>
      </c>
    </row>
    <row r="25" spans="1:16">
      <c r="A25" s="309" t="s">
        <v>39</v>
      </c>
      <c r="B25" s="310">
        <v>4.6841666666666697</v>
      </c>
      <c r="C25" s="311">
        <v>4.9800000000000004</v>
      </c>
      <c r="D25" s="312">
        <v>4.3991666666666696</v>
      </c>
      <c r="E25" s="313">
        <v>3.7958333333333298</v>
      </c>
      <c r="F25" s="314">
        <v>2.8858333333333301</v>
      </c>
      <c r="G25" s="315">
        <v>2.0699999999999998</v>
      </c>
      <c r="H25" s="316">
        <v>1.87916666666667</v>
      </c>
      <c r="I25" s="317">
        <v>1.90916666666667</v>
      </c>
      <c r="J25" s="318">
        <v>1.99416666666667</v>
      </c>
      <c r="K25" s="319">
        <v>1.4683333333333299</v>
      </c>
      <c r="L25" s="320">
        <v>0.77749999999999997</v>
      </c>
      <c r="M25" s="321">
        <v>1.11666666666667</v>
      </c>
      <c r="N25" s="322">
        <v>2.6191666666666702</v>
      </c>
      <c r="O25" s="323">
        <v>3.8680833333333333</v>
      </c>
      <c r="P25" s="324">
        <v>4.6766666666666667</v>
      </c>
    </row>
    <row r="26" spans="1:16">
      <c r="A26" s="325" t="s">
        <v>40</v>
      </c>
      <c r="B26" s="326">
        <v>4.0358333333333327</v>
      </c>
      <c r="C26" s="327">
        <v>5.4228333333333341</v>
      </c>
      <c r="D26" s="328">
        <v>5.4927500000000009</v>
      </c>
      <c r="E26" s="329">
        <v>4.3164166666666652</v>
      </c>
      <c r="F26" s="330">
        <v>2.8931666666666662</v>
      </c>
      <c r="G26" s="331">
        <v>1.7139166666666668</v>
      </c>
      <c r="H26" s="332">
        <v>1.4863333333333333</v>
      </c>
      <c r="I26" s="333">
        <v>2.113</v>
      </c>
      <c r="J26" s="334">
        <v>2.6103333333333336</v>
      </c>
      <c r="K26" s="335">
        <v>1.9515000000000002</v>
      </c>
      <c r="L26" s="336">
        <v>1.1681666666666666</v>
      </c>
      <c r="M26" s="337">
        <v>0.81091666666666684</v>
      </c>
      <c r="N26" s="338">
        <v>3.1567500000000002</v>
      </c>
      <c r="O26" s="339">
        <v>4.2832499999999998</v>
      </c>
      <c r="P26" s="340">
        <v>3.7074166666666666</v>
      </c>
    </row>
    <row r="27" spans="1:16">
      <c r="A27" s="341" t="s">
        <v>41</v>
      </c>
      <c r="B27" s="342">
        <v>1.1483333333333301</v>
      </c>
      <c r="C27" s="343">
        <v>1.1024166666666699</v>
      </c>
      <c r="D27" s="344">
        <v>0.83558333333333301</v>
      </c>
      <c r="E27" s="345">
        <v>0.68966666666666698</v>
      </c>
      <c r="F27" s="346">
        <v>0.52033333333333298</v>
      </c>
      <c r="G27" s="347">
        <v>0.35</v>
      </c>
      <c r="H27" s="348">
        <v>-6.6250000000000003E-2</v>
      </c>
      <c r="I27" s="349">
        <v>5.1666666666666701E-2</v>
      </c>
      <c r="J27" s="350">
        <v>6.5000000000000002E-2</v>
      </c>
      <c r="K27" s="351">
        <v>-0.110416666666667</v>
      </c>
      <c r="L27" s="352">
        <v>-5.4166666666666599E-3</v>
      </c>
      <c r="M27" s="353">
        <v>7.1666666666666698E-2</v>
      </c>
      <c r="N27" s="354">
        <v>0.23166666666666699</v>
      </c>
      <c r="O27" s="355">
        <v>0.56250000000000011</v>
      </c>
      <c r="P27" s="356">
        <v>0.91833333333333345</v>
      </c>
    </row>
    <row r="28" spans="1:16">
      <c r="A28" s="357" t="s">
        <v>42</v>
      </c>
      <c r="B28" s="358">
        <v>4.7733333333333299</v>
      </c>
      <c r="C28" s="359">
        <v>4.2024999999999997</v>
      </c>
      <c r="D28" s="360">
        <v>3.4474999999999998</v>
      </c>
      <c r="E28" s="361">
        <v>3.2780833333333299</v>
      </c>
      <c r="F28" s="362">
        <v>3.1863333333333301</v>
      </c>
      <c r="G28" s="363">
        <v>2.3057500000000002</v>
      </c>
      <c r="H28" s="364">
        <v>1.7474166666666699</v>
      </c>
      <c r="I28" s="365">
        <v>2.2825833333333301</v>
      </c>
      <c r="J28" s="366">
        <v>2.5027499999999998</v>
      </c>
      <c r="K28" s="367">
        <v>1.70225</v>
      </c>
      <c r="L28" s="368">
        <v>1.49966666666667</v>
      </c>
      <c r="M28" s="369">
        <v>2.0644999999999998</v>
      </c>
      <c r="N28" s="370">
        <v>3.3635000000000002</v>
      </c>
      <c r="O28" s="371">
        <v>3.6423333333333332</v>
      </c>
      <c r="P28" s="372">
        <v>3.2192500000000002</v>
      </c>
    </row>
    <row r="29" spans="1:16">
      <c r="A29" s="373" t="s">
        <v>43</v>
      </c>
      <c r="B29" s="374">
        <v>10.3375</v>
      </c>
      <c r="C29" s="375">
        <v>5.9074999999999998</v>
      </c>
      <c r="D29" s="376">
        <v>4.5650000000000004</v>
      </c>
      <c r="E29" s="377">
        <v>3.34</v>
      </c>
      <c r="F29" s="378">
        <v>2.5083333333333302</v>
      </c>
      <c r="G29" s="379">
        <v>0.96333333333333404</v>
      </c>
      <c r="H29" s="380">
        <v>0.53416666666666701</v>
      </c>
      <c r="I29" s="381">
        <v>0.83416666666666595</v>
      </c>
      <c r="J29" s="382">
        <v>0.90249999999999997</v>
      </c>
      <c r="K29" s="383">
        <v>0.34250000000000003</v>
      </c>
      <c r="L29" s="384">
        <v>-6.25E-2</v>
      </c>
      <c r="M29" s="385">
        <v>-2.5000000000000001E-3</v>
      </c>
      <c r="N29" s="386">
        <v>2.2725</v>
      </c>
      <c r="O29" s="387">
        <v>3.8283333333333331</v>
      </c>
      <c r="P29" s="388">
        <v>3.2874999999999996</v>
      </c>
    </row>
    <row r="30" spans="1:16">
      <c r="A30" s="389" t="s">
        <v>44</v>
      </c>
      <c r="B30" s="390">
        <v>5.56666666666667</v>
      </c>
      <c r="C30" s="391">
        <v>5.16</v>
      </c>
      <c r="D30" s="392">
        <v>4.83083333333333</v>
      </c>
      <c r="E30" s="393">
        <v>3.8316666666666701</v>
      </c>
      <c r="F30" s="394">
        <v>2.7925</v>
      </c>
      <c r="G30" s="395">
        <v>1.38083333333333</v>
      </c>
      <c r="H30" s="396">
        <v>0.89833333333333298</v>
      </c>
      <c r="I30" s="397">
        <v>0.31</v>
      </c>
      <c r="J30" s="398">
        <v>0.31</v>
      </c>
      <c r="K30" s="399">
        <v>0.31</v>
      </c>
      <c r="L30" s="400">
        <v>0.223333333333333</v>
      </c>
      <c r="M30" s="401">
        <v>0.16</v>
      </c>
      <c r="N30" s="402">
        <v>0.61333333333333295</v>
      </c>
      <c r="O30" s="403">
        <v>2.8800000000000003</v>
      </c>
      <c r="P30" s="404">
        <v>2.8800000000000003</v>
      </c>
    </row>
    <row r="31" spans="1:16">
      <c r="A31" s="405" t="s">
        <v>45</v>
      </c>
      <c r="B31" s="406">
        <v>3.16916666666667</v>
      </c>
      <c r="C31" s="407">
        <v>2.9233333333333298</v>
      </c>
      <c r="D31" s="408">
        <v>1.821</v>
      </c>
      <c r="E31" s="409">
        <v>1.8509166666666701</v>
      </c>
      <c r="F31" s="410">
        <v>1.3368333333333335</v>
      </c>
      <c r="G31" s="411">
        <v>0.36875000000000002</v>
      </c>
      <c r="H31" s="412">
        <v>0.25425000000000003</v>
      </c>
      <c r="I31" s="413">
        <v>0.54483333333333295</v>
      </c>
      <c r="J31" s="414">
        <v>0.56466666666666698</v>
      </c>
      <c r="K31" s="415">
        <v>-0.120583333333333</v>
      </c>
      <c r="L31" s="416">
        <v>-0.41358333333333303</v>
      </c>
      <c r="M31" s="417">
        <v>-0.35658333333333297</v>
      </c>
      <c r="N31" s="418">
        <v>1.7275</v>
      </c>
      <c r="O31" s="419">
        <v>2.9664999999999999</v>
      </c>
      <c r="P31" s="420">
        <v>2.7639166666666664</v>
      </c>
    </row>
    <row r="32" spans="1:16">
      <c r="A32" s="421" t="s">
        <v>46</v>
      </c>
      <c r="B32" s="422">
        <v>2.9900833333333332</v>
      </c>
      <c r="C32" s="423">
        <v>2.9885833333333331</v>
      </c>
      <c r="D32" s="424">
        <v>1.93225</v>
      </c>
      <c r="E32" s="425">
        <v>1.9605833333333333</v>
      </c>
      <c r="F32" s="426">
        <v>1.4546666666666701</v>
      </c>
      <c r="G32" s="427">
        <v>0.69033333333333324</v>
      </c>
      <c r="H32" s="428">
        <v>0.29108333333333336</v>
      </c>
      <c r="I32" s="429">
        <v>0.52208333333333301</v>
      </c>
      <c r="J32" s="430">
        <v>0.57691666666666697</v>
      </c>
      <c r="K32" s="431">
        <v>-7.0166666666666599E-2</v>
      </c>
      <c r="L32" s="432">
        <v>-0.37683333333333302</v>
      </c>
      <c r="M32" s="433">
        <v>-0.328083333333333</v>
      </c>
      <c r="N32" s="434">
        <v>1.3776666666666699</v>
      </c>
      <c r="O32" s="435">
        <v>2.7919999999999998</v>
      </c>
      <c r="P32" s="436">
        <v>2.6205000000000003</v>
      </c>
    </row>
    <row r="33" spans="1:16">
      <c r="A33" s="437" t="s">
        <v>47</v>
      </c>
      <c r="B33" s="438">
        <v>5.6033333333333299</v>
      </c>
      <c r="C33" s="439">
        <v>4.9450000000000003</v>
      </c>
      <c r="D33" s="440">
        <v>3.6850000000000001</v>
      </c>
      <c r="E33" s="441">
        <v>4.0933333333333302</v>
      </c>
      <c r="F33" s="442">
        <v>4.3041666666666698</v>
      </c>
      <c r="G33" s="443">
        <v>3.4233333333333298</v>
      </c>
      <c r="H33" s="444">
        <v>2.7616666666666698</v>
      </c>
      <c r="I33" s="445">
        <v>2.9908333333333301</v>
      </c>
      <c r="J33" s="446">
        <v>2.75416666666667</v>
      </c>
      <c r="K33" s="447">
        <v>1.64916666666667</v>
      </c>
      <c r="L33" s="448">
        <v>0.89083333333333303</v>
      </c>
      <c r="M33" s="449">
        <v>1.8149999999999999</v>
      </c>
      <c r="N33" s="450">
        <v>3.6391666666666702</v>
      </c>
      <c r="O33" s="451">
        <v>4.6241666666666665</v>
      </c>
      <c r="P33" s="452">
        <v>4.5625</v>
      </c>
    </row>
    <row r="34" spans="1:16">
      <c r="A34" s="453" t="s">
        <v>48</v>
      </c>
      <c r="B34" s="454">
        <v>3.5283333333333302</v>
      </c>
      <c r="C34" s="455">
        <v>3.1349999999999998</v>
      </c>
      <c r="D34" s="456">
        <v>2.1016666666666701</v>
      </c>
      <c r="E34" s="457">
        <v>2.5775000000000001</v>
      </c>
      <c r="F34" s="458">
        <v>2.5150000000000001</v>
      </c>
      <c r="G34" s="459">
        <v>1.5649999999999999</v>
      </c>
      <c r="H34" s="460">
        <v>1.3316666666666701</v>
      </c>
      <c r="I34" s="461">
        <v>1.6375</v>
      </c>
      <c r="J34" s="462">
        <v>1.87916666666667</v>
      </c>
      <c r="K34" s="463">
        <v>1.49416666666667</v>
      </c>
      <c r="L34" s="464">
        <v>0.8175</v>
      </c>
      <c r="M34" s="465">
        <v>1.4158703703703699</v>
      </c>
      <c r="N34" s="466">
        <v>2.8784130291005288</v>
      </c>
      <c r="O34" s="467">
        <v>3.4355513798701316</v>
      </c>
      <c r="P34" s="468">
        <v>3.5664418096597452</v>
      </c>
    </row>
    <row r="35" spans="1:16">
      <c r="A35" s="469" t="s">
        <v>49</v>
      </c>
      <c r="B35" s="470">
        <v>5.7816666666666698</v>
      </c>
      <c r="C35" s="471">
        <v>5.9555833333333297</v>
      </c>
      <c r="D35" s="472">
        <v>4.99928333333333</v>
      </c>
      <c r="E35" s="473">
        <v>4.0332916666666696</v>
      </c>
      <c r="F35" s="474">
        <v>3.5162111737499999</v>
      </c>
      <c r="G35" s="475">
        <v>2.7005564574166701</v>
      </c>
      <c r="H35" s="476">
        <v>3.0356892230833301</v>
      </c>
      <c r="I35" s="477">
        <v>3.42</v>
      </c>
      <c r="J35" s="478">
        <v>3.1983333333333301</v>
      </c>
      <c r="K35" s="479">
        <v>2.3475000000000001</v>
      </c>
      <c r="L35" s="480">
        <v>1.4991666666666701</v>
      </c>
      <c r="M35" s="481">
        <v>1.9441666666666699</v>
      </c>
      <c r="N35" s="482">
        <v>6.0533333333333301</v>
      </c>
      <c r="O35" s="483">
        <v>5.8058333333333332</v>
      </c>
      <c r="P35" s="484">
        <v>5.5250000000000012</v>
      </c>
    </row>
    <row r="36" spans="1:16">
      <c r="A36" s="485" t="s">
        <v>50</v>
      </c>
      <c r="B36" s="486">
        <v>5.3966666666666674</v>
      </c>
      <c r="C36" s="487">
        <v>10.240833333333333</v>
      </c>
      <c r="D36" s="488">
        <v>10.547499999999999</v>
      </c>
      <c r="E36" s="489">
        <v>6.29416666666667</v>
      </c>
      <c r="F36" s="490">
        <v>3.7533333333333339</v>
      </c>
      <c r="G36" s="491">
        <v>2.4233333333333298</v>
      </c>
      <c r="H36" s="492">
        <v>3.1724999999999999</v>
      </c>
      <c r="I36" s="493">
        <v>3.0525000000000002</v>
      </c>
      <c r="J36" s="494">
        <v>1.84</v>
      </c>
      <c r="K36" s="495">
        <v>0.75749999999999995</v>
      </c>
      <c r="L36" s="496">
        <v>0.41666666666666702</v>
      </c>
      <c r="M36" s="497">
        <v>0.29499999999999998</v>
      </c>
      <c r="N36" s="498">
        <v>2.17</v>
      </c>
      <c r="O36" s="499">
        <v>3.2375000000000003</v>
      </c>
      <c r="P36" s="500">
        <v>2.9575</v>
      </c>
    </row>
    <row r="37" spans="1:16">
      <c r="A37" s="501" t="s">
        <v>51</v>
      </c>
      <c r="B37" s="502">
        <v>3.8716465833333298</v>
      </c>
      <c r="C37" s="503">
        <v>4.4482055833333298</v>
      </c>
      <c r="D37" s="504">
        <v>4.5532309166666698</v>
      </c>
      <c r="E37" s="505">
        <v>3.18637683333333</v>
      </c>
      <c r="F37" s="506">
        <v>2.0717014166666701</v>
      </c>
      <c r="G37" s="507">
        <v>0.88524999999999998</v>
      </c>
      <c r="H37" s="508">
        <v>0.54440924999999996</v>
      </c>
      <c r="I37" s="509">
        <v>0.91536066666666605</v>
      </c>
      <c r="J37" s="510">
        <v>0.88551100000000005</v>
      </c>
      <c r="K37" s="511">
        <v>0.24631074999999999</v>
      </c>
      <c r="L37" s="512">
        <v>-3.8287750000000002E-2</v>
      </c>
      <c r="M37" s="513">
        <v>-8.0235166666666705E-2</v>
      </c>
      <c r="N37" s="514">
        <v>2.0740545833333299</v>
      </c>
      <c r="O37" s="515">
        <v>3.6492019166666672</v>
      </c>
      <c r="P37" s="516">
        <v>3.4734611666666666</v>
      </c>
    </row>
    <row r="38" spans="1:16">
      <c r="A38" s="517" t="s">
        <v>52</v>
      </c>
      <c r="B38" s="518">
        <v>3.8325</v>
      </c>
      <c r="C38" s="519">
        <v>4.9709166666666702</v>
      </c>
      <c r="D38" s="520">
        <v>5.80833333333333</v>
      </c>
      <c r="E38" s="521">
        <v>5.8116666666666701</v>
      </c>
      <c r="F38" s="522">
        <v>3.27</v>
      </c>
      <c r="G38" s="523">
        <v>1.7050000000000001</v>
      </c>
      <c r="H38" s="524">
        <v>1.14916666666667</v>
      </c>
      <c r="I38" s="525">
        <v>0.96</v>
      </c>
      <c r="J38" s="526">
        <v>0.93083333333333296</v>
      </c>
      <c r="K38" s="527">
        <v>0.27500000000000002</v>
      </c>
      <c r="L38" s="528">
        <v>7.9000000000000001E-2</v>
      </c>
      <c r="M38" s="529">
        <v>7.0833333333333304E-2</v>
      </c>
      <c r="N38" s="530">
        <v>1.8918333333333299</v>
      </c>
      <c r="O38" s="531">
        <v>3.4041666666666663</v>
      </c>
      <c r="P38" s="532">
        <v>3.1091666666666669</v>
      </c>
    </row>
    <row r="39" spans="1:16">
      <c r="A39" s="533" t="s">
        <v>53</v>
      </c>
      <c r="B39" s="534">
        <v>4.2500008987802183</v>
      </c>
      <c r="C39" s="535">
        <v>5.4368942255176798</v>
      </c>
      <c r="D39" s="536">
        <v>5.8465372174122159</v>
      </c>
      <c r="E39" s="537">
        <v>4.5619620388669313</v>
      </c>
      <c r="F39" s="538">
        <v>2.7218310821107443</v>
      </c>
      <c r="G39" s="539">
        <v>1.7350872800826183</v>
      </c>
      <c r="H39" s="540">
        <v>1.393302220183199</v>
      </c>
      <c r="I39" s="541">
        <v>1.5578658308595374</v>
      </c>
      <c r="J39" s="542">
        <v>1.4193522684345907</v>
      </c>
      <c r="K39" s="543">
        <v>0.66101832690256601</v>
      </c>
      <c r="L39" s="544">
        <v>0.37947763661459311</v>
      </c>
      <c r="M39" s="545">
        <v>0.34875023762469409</v>
      </c>
      <c r="N39" s="546">
        <v>2.1985585456146963</v>
      </c>
      <c r="O39" s="547">
        <v>3.4865070001254774</v>
      </c>
      <c r="P39" s="548">
        <v>3.1537955314009669</v>
      </c>
    </row>
    <row r="40" spans="1:16">
      <c r="A40" s="549" t="s">
        <v>54</v>
      </c>
      <c r="B40" s="550">
        <v>2.89333333333333</v>
      </c>
      <c r="C40" s="551">
        <v>2.605</v>
      </c>
      <c r="D40" s="552">
        <v>1.5925</v>
      </c>
      <c r="E40" s="553">
        <v>2.12083333333333</v>
      </c>
      <c r="F40" s="554">
        <v>1.72</v>
      </c>
      <c r="G40" s="555">
        <v>0.71916666666666595</v>
      </c>
      <c r="H40" s="556">
        <v>0.519166666666667</v>
      </c>
      <c r="I40" s="557">
        <v>0.65500000000000003</v>
      </c>
      <c r="J40" s="558">
        <v>0.65166666666666695</v>
      </c>
      <c r="K40" s="559">
        <v>9.3758333333333305E-2</v>
      </c>
      <c r="L40" s="560">
        <v>-3.800223333333333E-2</v>
      </c>
      <c r="M40" s="561">
        <v>0.26788133333333325</v>
      </c>
      <c r="N40" s="562">
        <v>1.5237366666666665</v>
      </c>
      <c r="O40" s="563">
        <v>2.5093341666666671</v>
      </c>
      <c r="P40" s="564">
        <v>2.2002700000000002</v>
      </c>
    </row>
    <row r="41" spans="1:16">
      <c r="A41" s="565" t="s">
        <v>55</v>
      </c>
      <c r="B41" s="566">
        <v>1.6319166666666665</v>
      </c>
      <c r="C41" s="567">
        <v>1.4713333333333332</v>
      </c>
      <c r="D41" s="568">
        <v>0.64541666666666664</v>
      </c>
      <c r="E41" s="569">
        <v>0.94933333333333325</v>
      </c>
      <c r="F41" s="570">
        <v>0.69275000000000009</v>
      </c>
      <c r="G41" s="571">
        <v>-6.8666666666666668E-2</v>
      </c>
      <c r="H41" s="572">
        <v>-0.36199999999999999</v>
      </c>
      <c r="I41" s="573">
        <v>-7.2083333333333305E-2</v>
      </c>
      <c r="J41" s="574">
        <v>3.3166666666666698E-2</v>
      </c>
      <c r="K41" s="575">
        <v>-0.48899999999999999</v>
      </c>
      <c r="L41" s="576">
        <v>-0.52383333333333304</v>
      </c>
      <c r="M41" s="577">
        <v>-0.23225000000000001</v>
      </c>
      <c r="N41" s="578">
        <v>0.82883333333333331</v>
      </c>
      <c r="O41" s="579">
        <v>1.0304999999999997</v>
      </c>
      <c r="P41" s="580">
        <v>0.56933333333333325</v>
      </c>
    </row>
    <row r="42" spans="1:16">
      <c r="A42" s="581" t="s">
        <v>56</v>
      </c>
      <c r="B42" s="582">
        <v>3.624425</v>
      </c>
      <c r="C42" s="583">
        <v>3.1359916666666701</v>
      </c>
      <c r="D42" s="584">
        <v>1.91804166666667</v>
      </c>
      <c r="E42" s="585">
        <v>2.3897833333333298</v>
      </c>
      <c r="F42" s="586">
        <v>2.5690833333333298</v>
      </c>
      <c r="G42" s="587">
        <v>1.90103333333333</v>
      </c>
      <c r="H42" s="588">
        <v>1.30520833333333</v>
      </c>
      <c r="I42" s="589">
        <v>1.2358083333333301</v>
      </c>
      <c r="J42" s="590">
        <v>1.4606583333333301</v>
      </c>
      <c r="K42" s="591">
        <v>0.93582500000000002</v>
      </c>
      <c r="L42" s="592">
        <v>0.37444166666666701</v>
      </c>
      <c r="M42" s="593">
        <v>0.78760833333333402</v>
      </c>
      <c r="N42" s="594">
        <v>2.4472916666666702</v>
      </c>
      <c r="O42" s="595">
        <v>4.0583</v>
      </c>
      <c r="P42" s="596">
        <v>4.1442416666666668</v>
      </c>
    </row>
    <row r="43" spans="1:16">
      <c r="A43" s="597" t="s">
        <v>57</v>
      </c>
      <c r="B43" s="598">
        <v>3.2141666666666699</v>
      </c>
      <c r="C43" s="599">
        <v>2.7858333333333301</v>
      </c>
      <c r="D43" s="600">
        <v>1.8025</v>
      </c>
      <c r="E43" s="601">
        <v>2.35083333333333</v>
      </c>
      <c r="F43" s="602">
        <v>2.5408333333333299</v>
      </c>
      <c r="G43" s="603">
        <v>2.1358333333333301</v>
      </c>
      <c r="H43" s="604">
        <v>1.8416666666666699</v>
      </c>
      <c r="I43" s="605">
        <v>2.33</v>
      </c>
      <c r="J43" s="606">
        <v>2.91</v>
      </c>
      <c r="K43" s="607">
        <v>2.1441666666666701</v>
      </c>
      <c r="L43" s="608">
        <v>0.894166666666666</v>
      </c>
      <c r="M43" s="609">
        <v>1.4424999999999999</v>
      </c>
      <c r="N43" s="610">
        <v>2.9516666666666702</v>
      </c>
      <c r="O43" s="611">
        <v>3.9574999999999996</v>
      </c>
      <c r="P43" s="612">
        <v>4.208333333333333</v>
      </c>
    </row>
    <row r="44" spans="1:16">
      <c r="A44" s="613" t="s">
        <v>58</v>
      </c>
      <c r="B44" s="614">
        <v>3.7814044859142864</v>
      </c>
      <c r="C44" s="615">
        <v>4.307952424780864</v>
      </c>
      <c r="D44" s="616">
        <v>3.047650890144102</v>
      </c>
      <c r="E44" s="617">
        <v>3.0117758761688798</v>
      </c>
      <c r="F44" s="618">
        <v>2.2813497115547223</v>
      </c>
      <c r="G44" s="619">
        <v>1.2674750644034243</v>
      </c>
      <c r="H44" s="620">
        <v>0.92856539253194992</v>
      </c>
      <c r="I44" s="621">
        <v>1.1707339183570469</v>
      </c>
      <c r="J44" s="622">
        <v>1.2640528626611831</v>
      </c>
      <c r="K44" s="623">
        <v>0.58461464230977234</v>
      </c>
      <c r="L44" s="624">
        <v>0.21358275847042338</v>
      </c>
      <c r="M44" s="625">
        <v>0.19970029412467091</v>
      </c>
      <c r="N44" s="626">
        <v>2.0414499541188214</v>
      </c>
      <c r="O44" s="627">
        <v>3.2651337549468202</v>
      </c>
      <c r="P44" s="628">
        <v>2.9753045525884274</v>
      </c>
    </row>
    <row r="45" spans="1:16">
      <c r="A45" s="629" t="s">
        <v>59</v>
      </c>
      <c r="B45" s="630" t="s">
        <v>21</v>
      </c>
      <c r="C45" s="631" t="s">
        <v>21</v>
      </c>
      <c r="D45" s="632" t="s">
        <v>21</v>
      </c>
      <c r="E45" s="633" t="s">
        <v>21</v>
      </c>
      <c r="F45" s="634" t="s">
        <v>21</v>
      </c>
      <c r="G45" s="635" t="s">
        <v>21</v>
      </c>
      <c r="H45" s="636" t="s">
        <v>21</v>
      </c>
      <c r="I45" s="637" t="s">
        <v>21</v>
      </c>
      <c r="J45" s="638" t="s">
        <v>21</v>
      </c>
      <c r="K45" s="639" t="s">
        <v>21</v>
      </c>
      <c r="L45" s="640" t="s">
        <v>21</v>
      </c>
      <c r="M45" s="641" t="s">
        <v>21</v>
      </c>
      <c r="N45" s="642" t="s">
        <v>21</v>
      </c>
      <c r="O45" s="643" t="s">
        <v>21</v>
      </c>
      <c r="P45" s="644" t="s">
        <v>21</v>
      </c>
    </row>
    <row r="46" spans="1:16">
      <c r="A46" s="645" t="s">
        <v>60</v>
      </c>
      <c r="B46" s="646">
        <v>6</v>
      </c>
      <c r="C46" s="647">
        <v>6</v>
      </c>
      <c r="D46" s="648">
        <v>5.75</v>
      </c>
      <c r="E46" s="649">
        <v>5</v>
      </c>
      <c r="F46" s="650">
        <v>5</v>
      </c>
      <c r="G46" s="651">
        <v>6.25</v>
      </c>
      <c r="H46" s="652">
        <v>7.5</v>
      </c>
      <c r="I46" s="653">
        <v>7.125</v>
      </c>
      <c r="J46" s="654">
        <v>6.7225000000000001</v>
      </c>
      <c r="K46" s="655">
        <v>6.2024999999999997</v>
      </c>
      <c r="L46" s="656">
        <v>4.8724999999999996</v>
      </c>
      <c r="M46" s="657">
        <v>4.8</v>
      </c>
      <c r="N46" s="658">
        <v>6.7774999999999999</v>
      </c>
      <c r="O46" s="659">
        <v>7.05</v>
      </c>
      <c r="P46" s="660">
        <v>6.8850000000000007</v>
      </c>
    </row>
    <row r="47" spans="1:16">
      <c r="A47" s="661" t="s">
        <v>61</v>
      </c>
      <c r="B47" s="662" t="s">
        <v>21</v>
      </c>
      <c r="C47" s="663" t="s">
        <v>21</v>
      </c>
      <c r="D47" s="664" t="s">
        <v>21</v>
      </c>
      <c r="E47" s="665" t="s">
        <v>21</v>
      </c>
      <c r="F47" s="666">
        <v>4.1041166666666697</v>
      </c>
      <c r="G47" s="667">
        <v>3.33388333333333</v>
      </c>
      <c r="H47" s="668">
        <v>2.8500666666666699</v>
      </c>
      <c r="I47" s="669">
        <v>3.5916666666666699</v>
      </c>
      <c r="J47" s="670">
        <v>3.5791666666666702</v>
      </c>
      <c r="K47" s="671">
        <v>3.1812999999999998</v>
      </c>
      <c r="L47" s="672">
        <v>2.9244333333333299</v>
      </c>
      <c r="M47" s="673">
        <v>3.0055333333333301</v>
      </c>
      <c r="N47" s="674">
        <v>2.7641833333333299</v>
      </c>
      <c r="O47" s="675">
        <v>2.7149999999999999</v>
      </c>
      <c r="P47" s="676">
        <v>2.1816666666666662</v>
      </c>
    </row>
    <row r="48" spans="1:16">
      <c r="A48" s="677" t="s">
        <v>62</v>
      </c>
      <c r="B48" s="678">
        <v>6.2649999999999997</v>
      </c>
      <c r="C48" s="679">
        <v>6.5391666666666701</v>
      </c>
      <c r="D48" s="680">
        <v>6.12916666666667</v>
      </c>
      <c r="E48" s="681">
        <v>4.6808333333333296</v>
      </c>
      <c r="F48" s="682">
        <v>4.0508333333333297</v>
      </c>
      <c r="G48" s="683">
        <v>3.5266666666666699</v>
      </c>
      <c r="H48" s="684">
        <v>3.4750000000000001</v>
      </c>
      <c r="I48" s="685">
        <v>2.7675000000000001</v>
      </c>
      <c r="J48" s="686">
        <v>2.1724999999999999</v>
      </c>
      <c r="K48" s="687">
        <v>1.2875000000000001</v>
      </c>
      <c r="L48" s="688">
        <v>0.83333333333333404</v>
      </c>
      <c r="M48" s="689">
        <v>0.44750000000000001</v>
      </c>
      <c r="N48" s="690">
        <v>2.6958333333333302</v>
      </c>
      <c r="O48" s="691">
        <v>3.7958333333333338</v>
      </c>
      <c r="P48" s="692">
        <v>3.31</v>
      </c>
    </row>
    <row r="49" spans="1:17">
      <c r="A49" s="693" t="s">
        <v>63</v>
      </c>
      <c r="B49" s="694" t="s">
        <v>21</v>
      </c>
      <c r="C49" s="695" t="s">
        <v>21</v>
      </c>
      <c r="D49" s="696">
        <v>8.26</v>
      </c>
      <c r="E49" s="697">
        <v>8.1091666666666651</v>
      </c>
      <c r="F49" s="698">
        <v>8.586666666666666</v>
      </c>
      <c r="G49" s="699">
        <v>7.7766666666666673</v>
      </c>
      <c r="H49" s="700">
        <v>7.205000000000001</v>
      </c>
      <c r="I49" s="701">
        <v>6.9224999999999994</v>
      </c>
      <c r="J49" s="702">
        <v>7.7041666666666666</v>
      </c>
      <c r="K49" s="703">
        <v>6.9966666666666661</v>
      </c>
      <c r="L49" s="704">
        <v>6.1916666666666664</v>
      </c>
      <c r="M49" s="705">
        <v>6.2575000000000003</v>
      </c>
      <c r="N49" s="706">
        <v>7.1916666666666664</v>
      </c>
      <c r="O49" s="707">
        <v>7.218333333333331</v>
      </c>
      <c r="P49" s="708">
        <v>6.9766666666666666</v>
      </c>
    </row>
    <row r="50" spans="1:17">
      <c r="A50" s="709" t="s">
        <v>64</v>
      </c>
      <c r="B50" s="710" t="s">
        <v>21</v>
      </c>
      <c r="C50" s="711" t="s">
        <v>21</v>
      </c>
      <c r="D50" s="712">
        <v>5.7958333333333298</v>
      </c>
      <c r="E50" s="713">
        <v>6.9874999999999998</v>
      </c>
      <c r="F50" s="714">
        <v>8.1316666666666695</v>
      </c>
      <c r="G50" s="715">
        <v>8.2216666666666605</v>
      </c>
      <c r="H50" s="716">
        <v>7.6383333333333301</v>
      </c>
      <c r="I50" s="717">
        <v>6.8783333333333303</v>
      </c>
      <c r="J50" s="718">
        <v>7.4574999999999996</v>
      </c>
      <c r="K50" s="719">
        <v>7.4653</v>
      </c>
      <c r="L50" s="720">
        <v>6.9048955833333299</v>
      </c>
      <c r="M50" s="721">
        <v>6.36295066666667</v>
      </c>
      <c r="N50" s="722">
        <v>6.9726534999999998</v>
      </c>
      <c r="O50" s="723">
        <v>6.5999999999999988</v>
      </c>
      <c r="P50" s="724">
        <v>6.793333333333333</v>
      </c>
    </row>
    <row r="51" spans="1:17">
      <c r="A51" s="725" t="s">
        <v>65</v>
      </c>
      <c r="B51" s="726">
        <v>7.8316666666666697</v>
      </c>
      <c r="C51" s="727">
        <v>8.0608333333333295</v>
      </c>
      <c r="D51" s="728">
        <v>8.1541666666666597</v>
      </c>
      <c r="E51" s="729">
        <v>7.3308333333333398</v>
      </c>
      <c r="F51" s="730">
        <v>8.4641666666666602</v>
      </c>
      <c r="G51" s="731">
        <v>10.8866666666667</v>
      </c>
      <c r="H51" s="732">
        <v>10.438333333333301</v>
      </c>
      <c r="I51" s="733">
        <v>8.9924999999999997</v>
      </c>
      <c r="J51" s="734" t="s">
        <v>21</v>
      </c>
      <c r="K51" s="735" t="s">
        <v>21</v>
      </c>
      <c r="L51" s="736" t="s">
        <v>21</v>
      </c>
      <c r="M51" s="737" t="s">
        <v>21</v>
      </c>
      <c r="N51" s="738" t="s">
        <v>21</v>
      </c>
      <c r="O51" s="739" t="s">
        <v>21</v>
      </c>
      <c r="P51" s="740" t="s">
        <v>21</v>
      </c>
    </row>
    <row r="52" spans="1:17">
      <c r="A52" s="741" t="s">
        <v>66</v>
      </c>
      <c r="B52" s="742">
        <v>8.6154162584491534</v>
      </c>
      <c r="C52" s="743">
        <v>8.5140850098731686</v>
      </c>
      <c r="D52" s="744">
        <v>7.9027988402605098</v>
      </c>
      <c r="E52" s="745">
        <v>7.7195941253000759</v>
      </c>
      <c r="F52" s="746">
        <v>8.2438533966668981</v>
      </c>
      <c r="G52" s="747">
        <v>8.1591513880220958</v>
      </c>
      <c r="H52" s="748">
        <v>9.016840595807702</v>
      </c>
      <c r="I52" s="749">
        <v>9.0540016903890752</v>
      </c>
      <c r="J52" s="750">
        <v>9.1275764287200207</v>
      </c>
      <c r="K52" s="751">
        <v>9.0725747965103807</v>
      </c>
      <c r="L52" s="752">
        <v>10.073242320392549</v>
      </c>
      <c r="M52" s="753">
        <v>9.7897322662717396</v>
      </c>
      <c r="N52" s="754">
        <v>10.736487212349054</v>
      </c>
      <c r="O52" s="755">
        <v>11.623916691424043</v>
      </c>
      <c r="P52" s="756">
        <v>11.169625952232359</v>
      </c>
    </row>
    <row r="54" spans="1:17">
      <c r="A54" s="757" t="s">
        <v>67</v>
      </c>
      <c r="Q54" s="758" t="s">
        <v>0</v>
      </c>
    </row>
  </sheetData>
  <hyperlinks>
    <hyperlink ref="A54" r:id="rId1" xr:uid="{00000000-0004-0000-0000-000000000000}"/>
    <hyperlink ref="Q54"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rzrl</vt:lpstr>
      <vt:lpstr>Overview</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Baptiste Boitier</dc:creator>
  <cp:lastModifiedBy>Baptiste Boitier</cp:lastModifiedBy>
  <dcterms:created xsi:type="dcterms:W3CDTF">2025-07-16T07:16:25Z</dcterms:created>
  <dcterms:modified xsi:type="dcterms:W3CDTF">2025-10-17T10:15:16Z</dcterms:modified>
</cp:coreProperties>
</file>